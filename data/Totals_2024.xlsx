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3256" windowHeight="13176" activeTab="11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45621"/>
</workbook>
</file>

<file path=xl/calcChain.xml><?xml version="1.0" encoding="utf-8"?>
<calcChain xmlns="http://schemas.openxmlformats.org/spreadsheetml/2006/main">
  <c r="I20" i="10" l="1"/>
  <c r="I21" i="8" l="1"/>
  <c r="F2" i="12" l="1"/>
  <c r="I2" i="12" s="1"/>
  <c r="F3" i="12"/>
  <c r="I3" i="12" s="1"/>
  <c r="F4" i="12"/>
  <c r="I4" i="12" s="1"/>
  <c r="F5" i="12"/>
  <c r="I5" i="12" s="1"/>
  <c r="F6" i="12"/>
  <c r="I6" i="12" s="1"/>
  <c r="F7" i="12"/>
  <c r="I7" i="12" s="1"/>
  <c r="F8" i="12"/>
  <c r="I8" i="12" s="1"/>
  <c r="K8" i="12"/>
  <c r="F9" i="12"/>
  <c r="I9" i="12" s="1"/>
  <c r="F10" i="12"/>
  <c r="I10" i="12" s="1"/>
  <c r="F11" i="12"/>
  <c r="I11" i="12" s="1"/>
  <c r="F12" i="12"/>
  <c r="I12" i="12" s="1"/>
  <c r="F13" i="12"/>
  <c r="I13" i="12" s="1"/>
  <c r="F14" i="12"/>
  <c r="I14" i="12" s="1"/>
  <c r="F15" i="12"/>
  <c r="I15" i="12" s="1"/>
  <c r="F16" i="12"/>
  <c r="I16" i="12" s="1"/>
  <c r="F17" i="12"/>
  <c r="I17" i="12" s="1"/>
  <c r="F18" i="12"/>
  <c r="I18" i="12" s="1"/>
  <c r="F19" i="12"/>
  <c r="I19" i="12" s="1"/>
  <c r="F20" i="12"/>
  <c r="I20" i="12" s="1"/>
  <c r="F21" i="12"/>
  <c r="I21" i="12" s="1"/>
  <c r="F22" i="12"/>
  <c r="I22" i="12" s="1"/>
  <c r="F23" i="12"/>
  <c r="I23" i="12" s="1"/>
  <c r="F24" i="12"/>
  <c r="I24" i="12" s="1"/>
  <c r="F25" i="12"/>
  <c r="I25" i="12" s="1"/>
  <c r="F26" i="12"/>
  <c r="I26" i="12"/>
  <c r="F27" i="12"/>
  <c r="I27" i="12" s="1"/>
  <c r="F28" i="12"/>
  <c r="I28" i="12" s="1"/>
  <c r="F29" i="12"/>
  <c r="I29" i="12" s="1"/>
  <c r="F30" i="12"/>
  <c r="I30" i="12" s="1"/>
  <c r="F31" i="12"/>
  <c r="I31" i="12" s="1"/>
  <c r="F32" i="12"/>
  <c r="I32" i="12" s="1"/>
  <c r="F2" i="6"/>
  <c r="I2" i="6" s="1"/>
  <c r="F3" i="6"/>
  <c r="I3" i="6" s="1"/>
  <c r="F4" i="6"/>
  <c r="I4" i="6"/>
  <c r="F5" i="6"/>
  <c r="I5" i="6" s="1"/>
  <c r="F6" i="6"/>
  <c r="I6" i="6" s="1"/>
  <c r="F7" i="6"/>
  <c r="I7" i="6" s="1"/>
  <c r="F8" i="6"/>
  <c r="I8" i="6" s="1"/>
  <c r="K8" i="6"/>
  <c r="F9" i="6"/>
  <c r="I9" i="6" s="1"/>
  <c r="F10" i="6"/>
  <c r="I10" i="6" s="1"/>
  <c r="F11" i="6"/>
  <c r="I11" i="6" s="1"/>
  <c r="F12" i="6"/>
  <c r="I12" i="6" s="1"/>
  <c r="F13" i="6"/>
  <c r="I13" i="6" s="1"/>
  <c r="F14" i="6"/>
  <c r="I14" i="6" s="1"/>
  <c r="F15" i="6"/>
  <c r="I15" i="6" s="1"/>
  <c r="F16" i="6"/>
  <c r="I16" i="6" s="1"/>
  <c r="F17" i="6"/>
  <c r="I17" i="6" s="1"/>
  <c r="F18" i="6"/>
  <c r="I18" i="6" s="1"/>
  <c r="F19" i="6"/>
  <c r="I19" i="6" s="1"/>
  <c r="F20" i="6"/>
  <c r="I20" i="6" s="1"/>
  <c r="F21" i="6"/>
  <c r="I21" i="6" s="1"/>
  <c r="F22" i="6"/>
  <c r="I22" i="6" s="1"/>
  <c r="F23" i="6"/>
  <c r="I23" i="6" s="1"/>
  <c r="F24" i="6"/>
  <c r="I24" i="6" s="1"/>
  <c r="F25" i="6"/>
  <c r="I25" i="6" s="1"/>
  <c r="F26" i="6"/>
  <c r="I26" i="6" s="1"/>
  <c r="F27" i="6"/>
  <c r="I27" i="6" s="1"/>
  <c r="F28" i="6"/>
  <c r="I28" i="6" s="1"/>
  <c r="F29" i="6"/>
  <c r="I29" i="6" s="1"/>
  <c r="F30" i="6"/>
  <c r="I30" i="6" s="1"/>
  <c r="F31" i="6"/>
  <c r="I31" i="6" s="1"/>
  <c r="K6" i="12" l="1"/>
  <c r="K10" i="6"/>
  <c r="K10" i="12"/>
  <c r="K6" i="6"/>
  <c r="F15" i="2"/>
  <c r="F13" i="2"/>
  <c r="F14" i="2"/>
  <c r="I3" i="2" l="1"/>
  <c r="I4" i="2"/>
  <c r="I5" i="2"/>
  <c r="I6" i="2"/>
  <c r="I15" i="2"/>
  <c r="I2" i="1"/>
  <c r="K6" i="1" l="1"/>
  <c r="I2" i="2"/>
  <c r="F31" i="11" l="1"/>
  <c r="I31" i="11" s="1"/>
  <c r="F30" i="11"/>
  <c r="I30" i="11" s="1"/>
  <c r="F29" i="11"/>
  <c r="I29" i="11" s="1"/>
  <c r="F28" i="11"/>
  <c r="I28" i="11" s="1"/>
  <c r="F27" i="11"/>
  <c r="I27" i="11" s="1"/>
  <c r="F26" i="11"/>
  <c r="I26" i="11" s="1"/>
  <c r="F25" i="11"/>
  <c r="I25" i="11" s="1"/>
  <c r="F24" i="11"/>
  <c r="I24" i="11" s="1"/>
  <c r="F23" i="11"/>
  <c r="I23" i="11" s="1"/>
  <c r="F22" i="11"/>
  <c r="I22" i="11" s="1"/>
  <c r="F21" i="11"/>
  <c r="I21" i="11" s="1"/>
  <c r="F20" i="11"/>
  <c r="I20" i="11" s="1"/>
  <c r="F19" i="11"/>
  <c r="I19" i="11" s="1"/>
  <c r="F18" i="11"/>
  <c r="I18" i="11" s="1"/>
  <c r="F17" i="11"/>
  <c r="I17" i="11" s="1"/>
  <c r="F16" i="11"/>
  <c r="I16" i="11" s="1"/>
  <c r="F15" i="11"/>
  <c r="F14" i="11"/>
  <c r="I14" i="11" s="1"/>
  <c r="F13" i="11"/>
  <c r="I13" i="11" s="1"/>
  <c r="F12" i="11"/>
  <c r="I12" i="11" s="1"/>
  <c r="F11" i="11"/>
  <c r="I11" i="11" s="1"/>
  <c r="F10" i="11"/>
  <c r="I10" i="11" s="1"/>
  <c r="F9" i="11"/>
  <c r="I9" i="11" s="1"/>
  <c r="K8" i="11"/>
  <c r="F8" i="11"/>
  <c r="I8" i="11" s="1"/>
  <c r="F7" i="11"/>
  <c r="I7" i="11" s="1"/>
  <c r="F6" i="11"/>
  <c r="I6" i="11" s="1"/>
  <c r="F5" i="11"/>
  <c r="I5" i="11" s="1"/>
  <c r="F4" i="11"/>
  <c r="I4" i="11" s="1"/>
  <c r="F3" i="11"/>
  <c r="F2" i="11"/>
  <c r="I2" i="11" s="1"/>
  <c r="F32" i="10"/>
  <c r="I32" i="10" s="1"/>
  <c r="F31" i="10"/>
  <c r="I31" i="10" s="1"/>
  <c r="F30" i="10"/>
  <c r="I30" i="10" s="1"/>
  <c r="F29" i="10"/>
  <c r="I29" i="10" s="1"/>
  <c r="F28" i="10"/>
  <c r="I28" i="10" s="1"/>
  <c r="F27" i="10"/>
  <c r="I27" i="10" s="1"/>
  <c r="F26" i="10"/>
  <c r="I26" i="10" s="1"/>
  <c r="F25" i="10"/>
  <c r="I25" i="10" s="1"/>
  <c r="F24" i="10"/>
  <c r="I24" i="10" s="1"/>
  <c r="F23" i="10"/>
  <c r="I23" i="10" s="1"/>
  <c r="F22" i="10"/>
  <c r="I22" i="10" s="1"/>
  <c r="F21" i="10"/>
  <c r="I21" i="10" s="1"/>
  <c r="F20" i="10"/>
  <c r="F19" i="10"/>
  <c r="I19" i="10" s="1"/>
  <c r="F18" i="10"/>
  <c r="I18" i="10" s="1"/>
  <c r="F17" i="10"/>
  <c r="I17" i="10" s="1"/>
  <c r="F16" i="10"/>
  <c r="I16" i="10" s="1"/>
  <c r="F15" i="10"/>
  <c r="I15" i="10" s="1"/>
  <c r="F14" i="10"/>
  <c r="I14" i="10" s="1"/>
  <c r="F13" i="10"/>
  <c r="I13" i="10" s="1"/>
  <c r="F12" i="10"/>
  <c r="I12" i="10" s="1"/>
  <c r="F11" i="10"/>
  <c r="I11" i="10" s="1"/>
  <c r="F10" i="10"/>
  <c r="F9" i="10"/>
  <c r="I9" i="10" s="1"/>
  <c r="K8" i="10"/>
  <c r="F8" i="10"/>
  <c r="I8" i="10" s="1"/>
  <c r="F7" i="10"/>
  <c r="I7" i="10" s="1"/>
  <c r="F6" i="10"/>
  <c r="I6" i="10" s="1"/>
  <c r="F5" i="10"/>
  <c r="I5" i="10" s="1"/>
  <c r="F4" i="10"/>
  <c r="I4" i="10" s="1"/>
  <c r="F3" i="10"/>
  <c r="I3" i="10" s="1"/>
  <c r="F2" i="10"/>
  <c r="I2" i="10" s="1"/>
  <c r="F31" i="9"/>
  <c r="I31" i="9" s="1"/>
  <c r="F30" i="9"/>
  <c r="I30" i="9" s="1"/>
  <c r="F29" i="9"/>
  <c r="I29" i="9" s="1"/>
  <c r="F28" i="9"/>
  <c r="I28" i="9" s="1"/>
  <c r="F27" i="9"/>
  <c r="I27" i="9" s="1"/>
  <c r="F26" i="9"/>
  <c r="I26" i="9" s="1"/>
  <c r="F25" i="9"/>
  <c r="I25" i="9" s="1"/>
  <c r="F24" i="9"/>
  <c r="I24" i="9" s="1"/>
  <c r="F23" i="9"/>
  <c r="I23" i="9" s="1"/>
  <c r="F22" i="9"/>
  <c r="I22" i="9" s="1"/>
  <c r="F21" i="9"/>
  <c r="I21" i="9" s="1"/>
  <c r="F20" i="9"/>
  <c r="I20" i="9" s="1"/>
  <c r="F19" i="9"/>
  <c r="I19" i="9" s="1"/>
  <c r="F18" i="9"/>
  <c r="I18" i="9" s="1"/>
  <c r="F17" i="9"/>
  <c r="I17" i="9" s="1"/>
  <c r="F16" i="9"/>
  <c r="I16" i="9" s="1"/>
  <c r="F15" i="9"/>
  <c r="I15" i="9" s="1"/>
  <c r="F14" i="9"/>
  <c r="I14" i="9" s="1"/>
  <c r="F13" i="9"/>
  <c r="I13" i="9" s="1"/>
  <c r="F12" i="9"/>
  <c r="I12" i="9" s="1"/>
  <c r="F11" i="9"/>
  <c r="I11" i="9" s="1"/>
  <c r="F10" i="9"/>
  <c r="I10" i="9" s="1"/>
  <c r="F9" i="9"/>
  <c r="I9" i="9" s="1"/>
  <c r="K8" i="9"/>
  <c r="F8" i="9"/>
  <c r="I8" i="9" s="1"/>
  <c r="F7" i="9"/>
  <c r="I7" i="9" s="1"/>
  <c r="F6" i="9"/>
  <c r="I6" i="9" s="1"/>
  <c r="F5" i="9"/>
  <c r="I5" i="9" s="1"/>
  <c r="F4" i="9"/>
  <c r="I4" i="9" s="1"/>
  <c r="F3" i="9"/>
  <c r="I3" i="9" s="1"/>
  <c r="F2" i="9"/>
  <c r="F32" i="8"/>
  <c r="I32" i="8" s="1"/>
  <c r="F31" i="8"/>
  <c r="I31" i="8" s="1"/>
  <c r="F30" i="8"/>
  <c r="I30" i="8" s="1"/>
  <c r="F29" i="8"/>
  <c r="I29" i="8" s="1"/>
  <c r="F28" i="8"/>
  <c r="I28" i="8" s="1"/>
  <c r="F27" i="8"/>
  <c r="I27" i="8" s="1"/>
  <c r="F26" i="8"/>
  <c r="I26" i="8" s="1"/>
  <c r="F25" i="8"/>
  <c r="I25" i="8" s="1"/>
  <c r="F24" i="8"/>
  <c r="I24" i="8" s="1"/>
  <c r="F23" i="8"/>
  <c r="I23" i="8" s="1"/>
  <c r="F22" i="8"/>
  <c r="I22" i="8" s="1"/>
  <c r="F21" i="8"/>
  <c r="F20" i="8"/>
  <c r="I20" i="8" s="1"/>
  <c r="F19" i="8"/>
  <c r="I19" i="8" s="1"/>
  <c r="F18" i="8"/>
  <c r="I18" i="8" s="1"/>
  <c r="F17" i="8"/>
  <c r="I17" i="8" s="1"/>
  <c r="F16" i="8"/>
  <c r="I16" i="8" s="1"/>
  <c r="F15" i="8"/>
  <c r="I15" i="8" s="1"/>
  <c r="F14" i="8"/>
  <c r="F13" i="8"/>
  <c r="I13" i="8" s="1"/>
  <c r="F12" i="8"/>
  <c r="I12" i="8" s="1"/>
  <c r="F11" i="8"/>
  <c r="I11" i="8" s="1"/>
  <c r="F10" i="8"/>
  <c r="I10" i="8" s="1"/>
  <c r="F9" i="8"/>
  <c r="I9" i="8" s="1"/>
  <c r="K8" i="8"/>
  <c r="F8" i="8"/>
  <c r="I8" i="8" s="1"/>
  <c r="F7" i="8"/>
  <c r="I7" i="8" s="1"/>
  <c r="F6" i="8"/>
  <c r="I6" i="8" s="1"/>
  <c r="F5" i="8"/>
  <c r="I5" i="8" s="1"/>
  <c r="F4" i="8"/>
  <c r="I4" i="8" s="1"/>
  <c r="F3" i="8"/>
  <c r="I3" i="8" s="1"/>
  <c r="F2" i="8"/>
  <c r="I2" i="8" s="1"/>
  <c r="F32" i="7"/>
  <c r="I32" i="7" s="1"/>
  <c r="F31" i="7"/>
  <c r="I31" i="7" s="1"/>
  <c r="F30" i="7"/>
  <c r="I30" i="7" s="1"/>
  <c r="F29" i="7"/>
  <c r="I29" i="7" s="1"/>
  <c r="F28" i="7"/>
  <c r="I28" i="7" s="1"/>
  <c r="F27" i="7"/>
  <c r="I27" i="7" s="1"/>
  <c r="F26" i="7"/>
  <c r="I26" i="7" s="1"/>
  <c r="F25" i="7"/>
  <c r="I25" i="7" s="1"/>
  <c r="F24" i="7"/>
  <c r="I24" i="7" s="1"/>
  <c r="F23" i="7"/>
  <c r="I23" i="7" s="1"/>
  <c r="F22" i="7"/>
  <c r="I22" i="7" s="1"/>
  <c r="F21" i="7"/>
  <c r="I21" i="7" s="1"/>
  <c r="F20" i="7"/>
  <c r="I20" i="7" s="1"/>
  <c r="F19" i="7"/>
  <c r="I19" i="7" s="1"/>
  <c r="F18" i="7"/>
  <c r="I18" i="7" s="1"/>
  <c r="F17" i="7"/>
  <c r="I17" i="7" s="1"/>
  <c r="F16" i="7"/>
  <c r="I16" i="7" s="1"/>
  <c r="F15" i="7"/>
  <c r="I15" i="7" s="1"/>
  <c r="F14" i="7"/>
  <c r="I14" i="7" s="1"/>
  <c r="F13" i="7"/>
  <c r="I13" i="7" s="1"/>
  <c r="F12" i="7"/>
  <c r="I12" i="7" s="1"/>
  <c r="F11" i="7"/>
  <c r="I11" i="7" s="1"/>
  <c r="I10" i="7"/>
  <c r="I9" i="7"/>
  <c r="K8" i="7"/>
  <c r="F8" i="7"/>
  <c r="I8" i="7" s="1"/>
  <c r="F7" i="7"/>
  <c r="I7" i="7" s="1"/>
  <c r="F6" i="7"/>
  <c r="I6" i="7" s="1"/>
  <c r="F5" i="7"/>
  <c r="I5" i="7" s="1"/>
  <c r="F4" i="7"/>
  <c r="I4" i="7" s="1"/>
  <c r="F3" i="7"/>
  <c r="I3" i="7" s="1"/>
  <c r="F2" i="7"/>
  <c r="I2" i="7" s="1"/>
  <c r="F32" i="5"/>
  <c r="I32" i="5" s="1"/>
  <c r="F31" i="5"/>
  <c r="I31" i="5" s="1"/>
  <c r="F30" i="5"/>
  <c r="I30" i="5" s="1"/>
  <c r="F29" i="5"/>
  <c r="I29" i="5" s="1"/>
  <c r="F28" i="5"/>
  <c r="I28" i="5" s="1"/>
  <c r="F27" i="5"/>
  <c r="I27" i="5" s="1"/>
  <c r="F26" i="5"/>
  <c r="I26" i="5" s="1"/>
  <c r="F25" i="5"/>
  <c r="I25" i="5" s="1"/>
  <c r="F24" i="5"/>
  <c r="I24" i="5" s="1"/>
  <c r="F23" i="5"/>
  <c r="I23" i="5" s="1"/>
  <c r="F22" i="5"/>
  <c r="I22" i="5" s="1"/>
  <c r="F21" i="5"/>
  <c r="I21" i="5" s="1"/>
  <c r="F20" i="5"/>
  <c r="I20" i="5" s="1"/>
  <c r="F19" i="5"/>
  <c r="I19" i="5" s="1"/>
  <c r="F18" i="5"/>
  <c r="I18" i="5" s="1"/>
  <c r="F17" i="5"/>
  <c r="I17" i="5" s="1"/>
  <c r="F16" i="5"/>
  <c r="I16" i="5" s="1"/>
  <c r="F15" i="5"/>
  <c r="I15" i="5" s="1"/>
  <c r="F14" i="5"/>
  <c r="I14" i="5" s="1"/>
  <c r="F13" i="5"/>
  <c r="I13" i="5" s="1"/>
  <c r="F12" i="5"/>
  <c r="I12" i="5" s="1"/>
  <c r="F11" i="5"/>
  <c r="I11" i="5" s="1"/>
  <c r="F10" i="5"/>
  <c r="I10" i="5" s="1"/>
  <c r="F9" i="5"/>
  <c r="I9" i="5" s="1"/>
  <c r="K8" i="5"/>
  <c r="F8" i="5"/>
  <c r="I8" i="5" s="1"/>
  <c r="F7" i="5"/>
  <c r="I7" i="5" s="1"/>
  <c r="F6" i="5"/>
  <c r="I6" i="5" s="1"/>
  <c r="F5" i="5"/>
  <c r="I5" i="5" s="1"/>
  <c r="F4" i="5"/>
  <c r="I4" i="5" s="1"/>
  <c r="F3" i="5"/>
  <c r="I3" i="5" s="1"/>
  <c r="F2" i="5"/>
  <c r="I2" i="5" s="1"/>
  <c r="F31" i="4"/>
  <c r="I31" i="4" s="1"/>
  <c r="F30" i="4"/>
  <c r="I30" i="4" s="1"/>
  <c r="F29" i="4"/>
  <c r="I29" i="4" s="1"/>
  <c r="F28" i="4"/>
  <c r="I28" i="4" s="1"/>
  <c r="F27" i="4"/>
  <c r="I27" i="4" s="1"/>
  <c r="F26" i="4"/>
  <c r="I26" i="4" s="1"/>
  <c r="F25" i="4"/>
  <c r="I25" i="4" s="1"/>
  <c r="F24" i="4"/>
  <c r="I24" i="4" s="1"/>
  <c r="F23" i="4"/>
  <c r="I23" i="4" s="1"/>
  <c r="F22" i="4"/>
  <c r="I22" i="4" s="1"/>
  <c r="F21" i="4"/>
  <c r="I21" i="4" s="1"/>
  <c r="F20" i="4"/>
  <c r="I20" i="4" s="1"/>
  <c r="F19" i="4"/>
  <c r="I19" i="4" s="1"/>
  <c r="F18" i="4"/>
  <c r="I18" i="4" s="1"/>
  <c r="F17" i="4"/>
  <c r="I17" i="4" s="1"/>
  <c r="F16" i="4"/>
  <c r="I16" i="4" s="1"/>
  <c r="F15" i="4"/>
  <c r="I15" i="4" s="1"/>
  <c r="F14" i="4"/>
  <c r="I14" i="4" s="1"/>
  <c r="F13" i="4"/>
  <c r="I13" i="4" s="1"/>
  <c r="F12" i="4"/>
  <c r="I12" i="4" s="1"/>
  <c r="F11" i="4"/>
  <c r="I11" i="4" s="1"/>
  <c r="F10" i="4"/>
  <c r="I10" i="4" s="1"/>
  <c r="F9" i="4"/>
  <c r="I9" i="4" s="1"/>
  <c r="K8" i="4"/>
  <c r="F8" i="4"/>
  <c r="I8" i="4" s="1"/>
  <c r="F7" i="4"/>
  <c r="I7" i="4" s="1"/>
  <c r="F6" i="4"/>
  <c r="I6" i="4" s="1"/>
  <c r="F5" i="4"/>
  <c r="I5" i="4" s="1"/>
  <c r="F4" i="4"/>
  <c r="I4" i="4" s="1"/>
  <c r="F3" i="4"/>
  <c r="I3" i="4" s="1"/>
  <c r="F2" i="4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6" i="3"/>
  <c r="I26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I17" i="3" s="1"/>
  <c r="F16" i="3"/>
  <c r="I16" i="3" s="1"/>
  <c r="F15" i="3"/>
  <c r="I15" i="3" s="1"/>
  <c r="F14" i="3"/>
  <c r="I14" i="3" s="1"/>
  <c r="F13" i="3"/>
  <c r="I13" i="3" s="1"/>
  <c r="F12" i="3"/>
  <c r="I12" i="3" s="1"/>
  <c r="F11" i="3"/>
  <c r="I11" i="3" s="1"/>
  <c r="F10" i="3"/>
  <c r="I10" i="3" s="1"/>
  <c r="F9" i="3"/>
  <c r="I9" i="3" s="1"/>
  <c r="K8" i="3"/>
  <c r="F8" i="3"/>
  <c r="I8" i="3" s="1"/>
  <c r="F7" i="3"/>
  <c r="I7" i="3" s="1"/>
  <c r="F6" i="3"/>
  <c r="I6" i="3" s="1"/>
  <c r="F5" i="3"/>
  <c r="I5" i="3" s="1"/>
  <c r="F4" i="3"/>
  <c r="I4" i="3" s="1"/>
  <c r="F3" i="3"/>
  <c r="I3" i="3" s="1"/>
  <c r="F2" i="3"/>
  <c r="F30" i="2"/>
  <c r="I30" i="2" s="1"/>
  <c r="F29" i="2"/>
  <c r="I29" i="2" s="1"/>
  <c r="F28" i="2"/>
  <c r="I28" i="2" s="1"/>
  <c r="F27" i="2"/>
  <c r="I27" i="2" s="1"/>
  <c r="F26" i="2"/>
  <c r="I26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7" i="2"/>
  <c r="I17" i="2" s="1"/>
  <c r="F16" i="2"/>
  <c r="I16" i="2" s="1"/>
  <c r="I14" i="2"/>
  <c r="I13" i="2"/>
  <c r="F12" i="2"/>
  <c r="I12" i="2" s="1"/>
  <c r="F11" i="2"/>
  <c r="I11" i="2" s="1"/>
  <c r="F10" i="2"/>
  <c r="I10" i="2" s="1"/>
  <c r="F9" i="2"/>
  <c r="I9" i="2" s="1"/>
  <c r="K8" i="2"/>
  <c r="F8" i="2"/>
  <c r="I8" i="2" s="1"/>
  <c r="F7" i="2"/>
  <c r="I7" i="2" s="1"/>
  <c r="F6" i="2"/>
  <c r="F5" i="2"/>
  <c r="F4" i="2"/>
  <c r="F3" i="2"/>
  <c r="F2" i="2"/>
  <c r="K8" i="1"/>
  <c r="K6" i="10" l="1"/>
  <c r="K6" i="4"/>
  <c r="K6" i="3"/>
  <c r="I2" i="3"/>
  <c r="K10" i="3" s="1"/>
  <c r="K10" i="2"/>
  <c r="K6" i="11"/>
  <c r="I3" i="11"/>
  <c r="K10" i="11" s="1"/>
  <c r="I10" i="10"/>
  <c r="K10" i="10" s="1"/>
  <c r="K6" i="9"/>
  <c r="I2" i="9"/>
  <c r="K10" i="9" s="1"/>
  <c r="K10" i="8"/>
  <c r="K6" i="8"/>
  <c r="K10" i="7"/>
  <c r="K6" i="7"/>
  <c r="K10" i="5"/>
  <c r="K6" i="5"/>
  <c r="I2" i="4"/>
  <c r="K10" i="4" s="1"/>
  <c r="K6" i="2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I4" i="1" s="1"/>
  <c r="F3" i="1"/>
  <c r="I3" i="1" s="1"/>
  <c r="F2" i="1"/>
  <c r="K10" i="1" l="1"/>
</calcChain>
</file>

<file path=xl/sharedStrings.xml><?xml version="1.0" encoding="utf-8"?>
<sst xmlns="http://schemas.openxmlformats.org/spreadsheetml/2006/main" count="134" uniqueCount="25">
  <si>
    <t>Day Totals</t>
  </si>
  <si>
    <t>Credit Cards</t>
  </si>
  <si>
    <t>Checks</t>
  </si>
  <si>
    <t>Cash</t>
  </si>
  <si>
    <t>Date</t>
  </si>
  <si>
    <t>Square Fees Totals</t>
  </si>
  <si>
    <t>Total Deposit Amount</t>
  </si>
  <si>
    <t xml:space="preserve"> Day Total</t>
  </si>
  <si>
    <t>February's</t>
  </si>
  <si>
    <t>Square Fee Total</t>
  </si>
  <si>
    <t>Deposit Total</t>
  </si>
  <si>
    <t>January's</t>
  </si>
  <si>
    <t>Day Total</t>
  </si>
  <si>
    <t>March's</t>
  </si>
  <si>
    <t>April's</t>
  </si>
  <si>
    <t>May's</t>
  </si>
  <si>
    <t>June's</t>
  </si>
  <si>
    <t>July's</t>
  </si>
  <si>
    <t>August's</t>
  </si>
  <si>
    <t>September's</t>
  </si>
  <si>
    <t>October's</t>
  </si>
  <si>
    <t>November's</t>
  </si>
  <si>
    <t>December's</t>
  </si>
  <si>
    <t>** $178.00 HELD BY SQUARE (S. Autoor dispute) Deposit total = $91.74 **</t>
  </si>
  <si>
    <t>$178.00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</si>
</sst>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 applyAlignment="1"/>
    <xf numFmtId="0" fontId="1" fillId="2" borderId="1" xfId="0" applyFont="1" applyFill="1" applyBorder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I3" sqref="I3"/>
    </sheetView>
  </sheetViews>
  <sheetFormatPr defaultRowHeight="14.4" x14ac:dyDescent="0.3"/>
  <cols>
    <col min="1" max="1" width="10" customWidth="1"/>
    <col min="2" max="3" width="8.88671875" style="1"/>
    <col min="4" max="4" width="11.88671875" style="1" customWidth="1"/>
    <col min="6" max="6" width="12.109375" customWidth="1"/>
    <col min="7" max="7" width="4.33203125" customWidth="1"/>
    <col min="8" max="8" width="19.109375" style="1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45292</v>
      </c>
      <c r="B2" s="3">
        <v>0</v>
      </c>
      <c r="C2" s="3">
        <v>0</v>
      </c>
      <c r="D2" s="3">
        <v>212</v>
      </c>
      <c r="E2" s="3"/>
      <c r="F2" s="3">
        <f>SUM(B2:D2)</f>
        <v>212</v>
      </c>
      <c r="G2" s="3"/>
      <c r="H2" s="3">
        <v>7.73</v>
      </c>
      <c r="I2" s="3">
        <f>F2-H2</f>
        <v>204.27</v>
      </c>
    </row>
    <row r="3" spans="1:11" x14ac:dyDescent="0.3">
      <c r="A3" s="2">
        <v>45293</v>
      </c>
      <c r="B3" s="3">
        <v>0</v>
      </c>
      <c r="C3" s="3">
        <v>0</v>
      </c>
      <c r="D3" s="3">
        <v>364</v>
      </c>
      <c r="E3" s="3"/>
      <c r="F3" s="3">
        <f t="shared" ref="F3:F32" si="0">SUM(B3:D3)</f>
        <v>364</v>
      </c>
      <c r="G3" s="3"/>
      <c r="H3" s="3">
        <v>12.09</v>
      </c>
      <c r="I3" s="3">
        <f t="shared" ref="I3:I32" si="1">F3-H3</f>
        <v>351.91</v>
      </c>
    </row>
    <row r="4" spans="1:11" x14ac:dyDescent="0.3">
      <c r="A4" s="2">
        <v>45294</v>
      </c>
      <c r="B4" s="3">
        <v>0</v>
      </c>
      <c r="C4" s="3">
        <v>0</v>
      </c>
      <c r="D4" s="3">
        <v>35</v>
      </c>
      <c r="E4" s="3"/>
      <c r="F4" s="3">
        <f t="shared" si="0"/>
        <v>35</v>
      </c>
      <c r="G4" s="3"/>
      <c r="H4" s="3">
        <v>1.38</v>
      </c>
      <c r="I4" s="3">
        <f t="shared" si="1"/>
        <v>33.619999999999997</v>
      </c>
      <c r="K4" s="11" t="s">
        <v>11</v>
      </c>
    </row>
    <row r="5" spans="1:11" x14ac:dyDescent="0.3">
      <c r="A5" s="2">
        <v>45295</v>
      </c>
      <c r="B5" s="3">
        <v>0</v>
      </c>
      <c r="C5" s="3">
        <v>0</v>
      </c>
      <c r="D5" s="3">
        <v>729</v>
      </c>
      <c r="E5" s="3"/>
      <c r="F5" s="3">
        <f t="shared" si="0"/>
        <v>729</v>
      </c>
      <c r="G5" s="3"/>
      <c r="H5" s="3">
        <v>26.01</v>
      </c>
      <c r="I5" s="3">
        <f t="shared" si="1"/>
        <v>702.99</v>
      </c>
      <c r="K5" s="11" t="s">
        <v>12</v>
      </c>
    </row>
    <row r="6" spans="1:11" x14ac:dyDescent="0.3">
      <c r="A6" s="2">
        <v>45296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12">
        <f>SUM(F2:F32)</f>
        <v>14779</v>
      </c>
    </row>
    <row r="7" spans="1:11" x14ac:dyDescent="0.3">
      <c r="A7" s="2">
        <v>45297</v>
      </c>
      <c r="B7" s="3">
        <v>0</v>
      </c>
      <c r="C7" s="3">
        <v>0</v>
      </c>
      <c r="D7" s="3">
        <v>246</v>
      </c>
      <c r="E7" s="3"/>
      <c r="F7" s="3">
        <f t="shared" si="0"/>
        <v>246</v>
      </c>
      <c r="G7" s="3"/>
      <c r="H7" s="3">
        <v>7.76</v>
      </c>
      <c r="I7" s="3">
        <f t="shared" si="1"/>
        <v>238.24</v>
      </c>
      <c r="K7" s="11" t="s">
        <v>9</v>
      </c>
    </row>
    <row r="8" spans="1:11" x14ac:dyDescent="0.3">
      <c r="A8" s="2">
        <v>45298</v>
      </c>
      <c r="B8" s="3">
        <v>0</v>
      </c>
      <c r="C8" s="3">
        <v>0</v>
      </c>
      <c r="D8" s="3">
        <v>212</v>
      </c>
      <c r="E8" s="3"/>
      <c r="F8" s="3">
        <f t="shared" si="0"/>
        <v>212</v>
      </c>
      <c r="G8" s="3"/>
      <c r="H8" s="3">
        <v>7.73</v>
      </c>
      <c r="I8" s="3">
        <f t="shared" si="1"/>
        <v>204.27</v>
      </c>
      <c r="K8" s="12">
        <f>SUM(H:H)</f>
        <v>426.24</v>
      </c>
    </row>
    <row r="9" spans="1:11" x14ac:dyDescent="0.3">
      <c r="A9" s="2">
        <v>45299</v>
      </c>
      <c r="B9" s="3">
        <v>0</v>
      </c>
      <c r="C9" s="3">
        <v>0</v>
      </c>
      <c r="D9" s="3">
        <v>246</v>
      </c>
      <c r="E9" s="3"/>
      <c r="F9" s="3">
        <f t="shared" si="0"/>
        <v>246</v>
      </c>
      <c r="G9" s="3"/>
      <c r="H9" s="3">
        <v>8.92</v>
      </c>
      <c r="I9" s="3">
        <f t="shared" si="1"/>
        <v>237.08</v>
      </c>
      <c r="K9" s="11" t="s">
        <v>10</v>
      </c>
    </row>
    <row r="10" spans="1:11" x14ac:dyDescent="0.3">
      <c r="A10" s="2">
        <v>45300</v>
      </c>
      <c r="B10" s="3">
        <v>0</v>
      </c>
      <c r="C10" s="3">
        <v>0</v>
      </c>
      <c r="D10" s="3">
        <v>646</v>
      </c>
      <c r="E10" s="3"/>
      <c r="F10" s="3">
        <f t="shared" si="0"/>
        <v>646</v>
      </c>
      <c r="G10" s="3"/>
      <c r="H10" s="3">
        <v>21.64</v>
      </c>
      <c r="I10" s="3">
        <f t="shared" si="1"/>
        <v>624.36</v>
      </c>
      <c r="K10" s="12">
        <f>SUM(I:I)</f>
        <v>14352.76</v>
      </c>
    </row>
    <row r="11" spans="1:11" x14ac:dyDescent="0.3">
      <c r="A11" s="2">
        <v>45301</v>
      </c>
      <c r="B11" s="3">
        <v>0</v>
      </c>
      <c r="C11" s="3">
        <v>0</v>
      </c>
      <c r="D11" s="3">
        <v>309</v>
      </c>
      <c r="E11" s="3"/>
      <c r="F11" s="3">
        <f t="shared" si="0"/>
        <v>309</v>
      </c>
      <c r="G11" s="3"/>
      <c r="H11" s="3">
        <v>9.85</v>
      </c>
      <c r="I11" s="3">
        <f t="shared" si="1"/>
        <v>299.14999999999998</v>
      </c>
    </row>
    <row r="12" spans="1:11" x14ac:dyDescent="0.3">
      <c r="A12" s="2">
        <v>45302</v>
      </c>
      <c r="B12" s="3">
        <v>0</v>
      </c>
      <c r="C12" s="3">
        <v>0</v>
      </c>
      <c r="D12" s="3">
        <v>458</v>
      </c>
      <c r="E12" s="3"/>
      <c r="F12" s="3">
        <f t="shared" si="0"/>
        <v>458</v>
      </c>
      <c r="G12" s="3"/>
      <c r="H12" s="3">
        <v>15.49</v>
      </c>
      <c r="I12" s="3">
        <f t="shared" si="1"/>
        <v>442.51</v>
      </c>
    </row>
    <row r="13" spans="1:11" x14ac:dyDescent="0.3">
      <c r="A13" s="2">
        <v>45303</v>
      </c>
      <c r="B13" s="3">
        <v>0</v>
      </c>
      <c r="C13" s="3">
        <v>0</v>
      </c>
      <c r="D13" s="3">
        <v>335</v>
      </c>
      <c r="E13" s="3"/>
      <c r="F13" s="3">
        <f t="shared" si="0"/>
        <v>335</v>
      </c>
      <c r="G13" s="3"/>
      <c r="H13" s="3">
        <v>12.19</v>
      </c>
      <c r="I13" s="3">
        <f t="shared" si="1"/>
        <v>322.81</v>
      </c>
    </row>
    <row r="14" spans="1:11" x14ac:dyDescent="0.3">
      <c r="A14" s="2">
        <v>45304</v>
      </c>
      <c r="B14" s="3">
        <v>0</v>
      </c>
      <c r="C14" s="3">
        <v>0</v>
      </c>
      <c r="D14" s="3">
        <v>424</v>
      </c>
      <c r="E14" s="3"/>
      <c r="F14" s="3">
        <f t="shared" si="0"/>
        <v>424</v>
      </c>
      <c r="G14" s="3"/>
      <c r="H14" s="3">
        <v>15.46</v>
      </c>
      <c r="I14" s="3">
        <f t="shared" si="1"/>
        <v>408.54</v>
      </c>
    </row>
    <row r="15" spans="1:11" x14ac:dyDescent="0.3">
      <c r="A15" s="2">
        <v>45305</v>
      </c>
      <c r="B15" s="3">
        <v>0</v>
      </c>
      <c r="C15" s="3">
        <v>0</v>
      </c>
      <c r="D15" s="3">
        <v>212</v>
      </c>
      <c r="E15" s="3"/>
      <c r="F15" s="3">
        <f t="shared" si="0"/>
        <v>212</v>
      </c>
      <c r="G15" s="3"/>
      <c r="H15" s="3">
        <v>7.73</v>
      </c>
      <c r="I15" s="3">
        <f t="shared" si="1"/>
        <v>204.27</v>
      </c>
    </row>
    <row r="16" spans="1:11" x14ac:dyDescent="0.3">
      <c r="A16" s="2">
        <v>45306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45307</v>
      </c>
      <c r="B17" s="3">
        <v>0</v>
      </c>
      <c r="C17" s="3">
        <v>0</v>
      </c>
      <c r="D17" s="3">
        <v>369</v>
      </c>
      <c r="E17" s="3"/>
      <c r="F17" s="3">
        <f t="shared" si="0"/>
        <v>369</v>
      </c>
      <c r="G17" s="3"/>
      <c r="H17" s="3">
        <v>13.38</v>
      </c>
      <c r="I17" s="3">
        <f t="shared" si="1"/>
        <v>355.62</v>
      </c>
    </row>
    <row r="18" spans="1:9" x14ac:dyDescent="0.3">
      <c r="A18" s="2">
        <v>45308</v>
      </c>
      <c r="B18" s="3">
        <v>0</v>
      </c>
      <c r="C18" s="3">
        <v>0</v>
      </c>
      <c r="D18" s="3">
        <v>212</v>
      </c>
      <c r="E18" s="3"/>
      <c r="F18" s="3">
        <f t="shared" si="0"/>
        <v>212</v>
      </c>
      <c r="G18" s="3"/>
      <c r="H18" s="3">
        <v>7.73</v>
      </c>
      <c r="I18" s="3">
        <f t="shared" si="1"/>
        <v>204.27</v>
      </c>
    </row>
    <row r="19" spans="1:9" x14ac:dyDescent="0.3">
      <c r="A19" s="2">
        <v>45309</v>
      </c>
      <c r="B19" s="3">
        <v>0</v>
      </c>
      <c r="C19" s="3">
        <v>0</v>
      </c>
      <c r="D19" s="3">
        <v>221</v>
      </c>
      <c r="E19" s="3"/>
      <c r="F19" s="3">
        <f t="shared" si="0"/>
        <v>221</v>
      </c>
      <c r="G19" s="3"/>
      <c r="H19" s="3">
        <v>7.89</v>
      </c>
      <c r="I19" s="3">
        <f t="shared" si="1"/>
        <v>213.11</v>
      </c>
    </row>
    <row r="20" spans="1:9" x14ac:dyDescent="0.3">
      <c r="A20" s="2">
        <v>45310</v>
      </c>
      <c r="B20" s="3">
        <v>0</v>
      </c>
      <c r="C20" s="3">
        <v>0</v>
      </c>
      <c r="D20" s="3">
        <v>246</v>
      </c>
      <c r="E20" s="3"/>
      <c r="F20" s="3">
        <f t="shared" si="0"/>
        <v>246</v>
      </c>
      <c r="G20" s="3"/>
      <c r="H20" s="3">
        <v>8.92</v>
      </c>
      <c r="I20" s="3">
        <f t="shared" si="1"/>
        <v>237.08</v>
      </c>
    </row>
    <row r="21" spans="1:9" x14ac:dyDescent="0.3">
      <c r="A21" s="2">
        <v>45311</v>
      </c>
      <c r="B21" s="3">
        <v>0</v>
      </c>
      <c r="C21" s="3">
        <v>0</v>
      </c>
      <c r="D21" s="3">
        <v>725</v>
      </c>
      <c r="E21" s="3"/>
      <c r="F21" s="3">
        <f t="shared" si="0"/>
        <v>725</v>
      </c>
      <c r="G21" s="3"/>
      <c r="H21" s="3">
        <v>24.65</v>
      </c>
      <c r="I21" s="3">
        <f t="shared" si="1"/>
        <v>700.35</v>
      </c>
    </row>
    <row r="22" spans="1:9" x14ac:dyDescent="0.3">
      <c r="A22" s="2">
        <v>45312</v>
      </c>
      <c r="B22" s="3">
        <v>0</v>
      </c>
      <c r="C22" s="3">
        <v>0</v>
      </c>
      <c r="D22" s="3">
        <v>492</v>
      </c>
      <c r="E22" s="3"/>
      <c r="F22" s="3">
        <f t="shared" si="0"/>
        <v>492</v>
      </c>
      <c r="G22" s="3"/>
      <c r="H22" s="3">
        <v>17.84</v>
      </c>
      <c r="I22" s="3">
        <f t="shared" si="1"/>
        <v>474.16</v>
      </c>
    </row>
    <row r="23" spans="1:9" x14ac:dyDescent="0.3">
      <c r="A23" s="2">
        <v>45313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45314</v>
      </c>
      <c r="B24" s="3">
        <v>0</v>
      </c>
      <c r="C24" s="3">
        <v>2712</v>
      </c>
      <c r="D24" s="3">
        <v>468</v>
      </c>
      <c r="E24" s="3"/>
      <c r="F24" s="3">
        <f t="shared" si="0"/>
        <v>3180</v>
      </c>
      <c r="G24" s="3"/>
      <c r="H24" s="3">
        <v>16.989999999999998</v>
      </c>
      <c r="I24" s="3">
        <f t="shared" si="1"/>
        <v>3163.01</v>
      </c>
    </row>
    <row r="25" spans="1:9" x14ac:dyDescent="0.3">
      <c r="A25" s="2">
        <v>45315</v>
      </c>
      <c r="B25" s="3">
        <v>0</v>
      </c>
      <c r="C25" s="3">
        <v>0</v>
      </c>
      <c r="D25" s="3">
        <v>400</v>
      </c>
      <c r="E25" s="3"/>
      <c r="F25" s="3">
        <f t="shared" si="0"/>
        <v>400</v>
      </c>
      <c r="G25" s="3"/>
      <c r="H25" s="3">
        <v>11.86</v>
      </c>
      <c r="I25" s="3">
        <f t="shared" si="1"/>
        <v>388.14</v>
      </c>
    </row>
    <row r="26" spans="1:9" x14ac:dyDescent="0.3">
      <c r="A26" s="2">
        <v>45316</v>
      </c>
      <c r="B26" s="3">
        <v>0</v>
      </c>
      <c r="C26" s="3">
        <v>0</v>
      </c>
      <c r="D26" s="3">
        <v>496</v>
      </c>
      <c r="E26" s="3"/>
      <c r="F26" s="3">
        <f t="shared" si="0"/>
        <v>496</v>
      </c>
      <c r="G26" s="3"/>
      <c r="H26" s="3">
        <v>17.39</v>
      </c>
      <c r="I26" s="3">
        <f t="shared" si="1"/>
        <v>478.61</v>
      </c>
    </row>
    <row r="27" spans="1:9" x14ac:dyDescent="0.3">
      <c r="A27" s="2">
        <v>45317</v>
      </c>
      <c r="B27" s="3">
        <v>0</v>
      </c>
      <c r="C27" s="3">
        <v>0</v>
      </c>
      <c r="D27" s="3">
        <v>615</v>
      </c>
      <c r="E27" s="3"/>
      <c r="F27" s="3">
        <f t="shared" si="0"/>
        <v>615</v>
      </c>
      <c r="G27" s="3"/>
      <c r="H27" s="3">
        <v>22.3</v>
      </c>
      <c r="I27" s="3">
        <f t="shared" si="1"/>
        <v>592.70000000000005</v>
      </c>
    </row>
    <row r="28" spans="1:9" x14ac:dyDescent="0.3">
      <c r="A28" s="2">
        <v>45318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8.92</v>
      </c>
      <c r="I28" s="3">
        <f t="shared" si="1"/>
        <v>237.08</v>
      </c>
    </row>
    <row r="29" spans="1:9" x14ac:dyDescent="0.3">
      <c r="A29" s="2">
        <v>45319</v>
      </c>
      <c r="B29" s="3">
        <v>0</v>
      </c>
      <c r="C29" s="3">
        <v>0</v>
      </c>
      <c r="D29" s="3">
        <v>1039</v>
      </c>
      <c r="E29" s="3"/>
      <c r="F29" s="3">
        <f t="shared" si="0"/>
        <v>1039</v>
      </c>
      <c r="G29" s="3"/>
      <c r="H29" s="3">
        <v>37.6</v>
      </c>
      <c r="I29" s="3">
        <f t="shared" si="1"/>
        <v>1001.4</v>
      </c>
    </row>
    <row r="30" spans="1:9" x14ac:dyDescent="0.3">
      <c r="A30" s="2">
        <v>45320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9" x14ac:dyDescent="0.3">
      <c r="A31" s="2">
        <v>45321</v>
      </c>
      <c r="B31" s="3">
        <v>0</v>
      </c>
      <c r="C31" s="3">
        <v>0</v>
      </c>
      <c r="D31" s="3">
        <v>490</v>
      </c>
      <c r="E31" s="3"/>
      <c r="F31" s="3">
        <f t="shared" si="0"/>
        <v>490</v>
      </c>
      <c r="G31" s="3"/>
      <c r="H31" s="3">
        <v>17.77</v>
      </c>
      <c r="I31" s="3">
        <f t="shared" si="1"/>
        <v>472.23</v>
      </c>
    </row>
    <row r="32" spans="1:9" x14ac:dyDescent="0.3">
      <c r="A32" s="2">
        <v>45322</v>
      </c>
      <c r="B32" s="3">
        <v>0</v>
      </c>
      <c r="C32" s="10">
        <v>0</v>
      </c>
      <c r="D32" s="3">
        <v>34</v>
      </c>
      <c r="E32" s="1"/>
      <c r="F32" s="3">
        <f t="shared" si="0"/>
        <v>34</v>
      </c>
      <c r="G32" s="3"/>
      <c r="H32" s="3">
        <v>1.34</v>
      </c>
      <c r="I32" s="3">
        <f t="shared" si="1"/>
        <v>32.659999999999997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K30" sqref="K30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2.8867187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45323</v>
      </c>
      <c r="B2" s="3">
        <v>0</v>
      </c>
      <c r="C2" s="3">
        <v>0</v>
      </c>
      <c r="D2" s="3">
        <v>212</v>
      </c>
      <c r="E2" s="3"/>
      <c r="F2" s="3">
        <f>SUM(B2:D2)</f>
        <v>212</v>
      </c>
      <c r="G2" s="3"/>
      <c r="H2" s="3">
        <v>7.73</v>
      </c>
      <c r="I2" s="3">
        <f>F2-H2</f>
        <v>204.27</v>
      </c>
    </row>
    <row r="3" spans="1:11" x14ac:dyDescent="0.3">
      <c r="A3" s="2">
        <v>45324</v>
      </c>
      <c r="B3" s="3">
        <v>0</v>
      </c>
      <c r="C3" s="3">
        <v>0</v>
      </c>
      <c r="D3" s="3">
        <v>246</v>
      </c>
      <c r="E3" s="3"/>
      <c r="F3" s="3">
        <f t="shared" ref="F3:F30" si="0">SUM(B3:D3)</f>
        <v>246</v>
      </c>
      <c r="G3" s="3"/>
      <c r="H3" s="3">
        <v>8.92</v>
      </c>
      <c r="I3" s="3">
        <f t="shared" ref="I3:I30" si="1">F3-H3</f>
        <v>237.08</v>
      </c>
    </row>
    <row r="4" spans="1:11" x14ac:dyDescent="0.3">
      <c r="A4" s="2">
        <v>45325</v>
      </c>
      <c r="B4" s="3">
        <v>0</v>
      </c>
      <c r="C4" s="3">
        <v>0</v>
      </c>
      <c r="D4" s="3">
        <v>217</v>
      </c>
      <c r="E4" s="3"/>
      <c r="F4" s="3">
        <f t="shared" si="0"/>
        <v>217</v>
      </c>
      <c r="G4" s="3"/>
      <c r="H4" s="3">
        <v>7.31</v>
      </c>
      <c r="I4" s="3">
        <f t="shared" si="1"/>
        <v>209.69</v>
      </c>
      <c r="K4" s="11" t="s">
        <v>8</v>
      </c>
    </row>
    <row r="5" spans="1:11" x14ac:dyDescent="0.3">
      <c r="A5" s="2">
        <v>45326</v>
      </c>
      <c r="B5" s="3">
        <v>0</v>
      </c>
      <c r="C5" s="3">
        <v>0</v>
      </c>
      <c r="D5" s="3">
        <v>458</v>
      </c>
      <c r="E5" s="3"/>
      <c r="F5" s="3">
        <f t="shared" si="0"/>
        <v>458</v>
      </c>
      <c r="G5" s="3"/>
      <c r="H5" s="3">
        <v>16.649999999999999</v>
      </c>
      <c r="I5" s="3">
        <f t="shared" si="1"/>
        <v>441.35</v>
      </c>
      <c r="K5" s="11" t="s">
        <v>7</v>
      </c>
    </row>
    <row r="6" spans="1:11" x14ac:dyDescent="0.3">
      <c r="A6" s="2">
        <v>45327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12">
        <f>SUM(F2:F32)</f>
        <v>11799</v>
      </c>
    </row>
    <row r="7" spans="1:11" x14ac:dyDescent="0.3">
      <c r="A7" s="2">
        <v>45328</v>
      </c>
      <c r="B7" s="3">
        <v>0</v>
      </c>
      <c r="C7" s="3">
        <v>0</v>
      </c>
      <c r="D7" s="3">
        <v>369</v>
      </c>
      <c r="E7" s="3"/>
      <c r="F7" s="3">
        <f t="shared" si="0"/>
        <v>369</v>
      </c>
      <c r="G7" s="3"/>
      <c r="H7" s="3">
        <v>13.38</v>
      </c>
      <c r="I7" s="3">
        <f t="shared" si="1"/>
        <v>355.62</v>
      </c>
      <c r="K7" s="11" t="s">
        <v>9</v>
      </c>
    </row>
    <row r="8" spans="1:11" x14ac:dyDescent="0.3">
      <c r="A8" s="2">
        <v>45329</v>
      </c>
      <c r="B8" s="3">
        <v>0</v>
      </c>
      <c r="C8" s="3">
        <v>0</v>
      </c>
      <c r="D8" s="3">
        <v>271</v>
      </c>
      <c r="E8" s="3"/>
      <c r="F8" s="3">
        <f t="shared" si="0"/>
        <v>271</v>
      </c>
      <c r="G8" s="3"/>
      <c r="H8" s="3">
        <v>8.1999999999999993</v>
      </c>
      <c r="I8" s="3">
        <f t="shared" si="1"/>
        <v>262.8</v>
      </c>
      <c r="K8" s="12">
        <f>SUM(H:H)</f>
        <v>410.70000000000005</v>
      </c>
    </row>
    <row r="9" spans="1:11" x14ac:dyDescent="0.3">
      <c r="A9" s="2">
        <v>45330</v>
      </c>
      <c r="B9" s="3">
        <v>0</v>
      </c>
      <c r="C9" s="3">
        <v>0</v>
      </c>
      <c r="D9" s="3">
        <v>246</v>
      </c>
      <c r="E9" s="3"/>
      <c r="F9" s="3">
        <f t="shared" si="0"/>
        <v>246</v>
      </c>
      <c r="G9" s="3"/>
      <c r="H9" s="3">
        <v>8.92</v>
      </c>
      <c r="I9" s="3">
        <f t="shared" si="1"/>
        <v>237.08</v>
      </c>
      <c r="K9" s="11" t="s">
        <v>10</v>
      </c>
    </row>
    <row r="10" spans="1:11" x14ac:dyDescent="0.3">
      <c r="A10" s="2">
        <v>45331</v>
      </c>
      <c r="B10" s="3">
        <v>0</v>
      </c>
      <c r="C10" s="3">
        <v>0</v>
      </c>
      <c r="D10" s="3">
        <v>581</v>
      </c>
      <c r="E10" s="3"/>
      <c r="F10" s="3">
        <f t="shared" si="0"/>
        <v>581</v>
      </c>
      <c r="G10" s="3"/>
      <c r="H10" s="3">
        <v>21.11</v>
      </c>
      <c r="I10" s="3">
        <f t="shared" si="1"/>
        <v>559.89</v>
      </c>
      <c r="K10" s="12">
        <f>SUM(I:I)</f>
        <v>11388.300000000003</v>
      </c>
    </row>
    <row r="11" spans="1:11" x14ac:dyDescent="0.3">
      <c r="A11" s="2">
        <v>45332</v>
      </c>
      <c r="B11" s="3">
        <v>0</v>
      </c>
      <c r="C11" s="3">
        <v>0</v>
      </c>
      <c r="D11" s="3">
        <v>157</v>
      </c>
      <c r="E11" s="3"/>
      <c r="F11" s="3">
        <f t="shared" si="0"/>
        <v>157</v>
      </c>
      <c r="G11" s="3"/>
      <c r="H11" s="3">
        <v>5.8</v>
      </c>
      <c r="I11" s="3">
        <f t="shared" si="1"/>
        <v>151.19999999999999</v>
      </c>
    </row>
    <row r="12" spans="1:11" x14ac:dyDescent="0.3">
      <c r="A12" s="2">
        <v>45333</v>
      </c>
      <c r="B12" s="3">
        <v>0</v>
      </c>
      <c r="C12" s="3">
        <v>0</v>
      </c>
      <c r="D12" s="3">
        <v>458</v>
      </c>
      <c r="E12" s="3"/>
      <c r="F12" s="3">
        <f t="shared" si="0"/>
        <v>458</v>
      </c>
      <c r="G12" s="3"/>
      <c r="H12" s="3">
        <v>16.649999999999999</v>
      </c>
      <c r="I12" s="3">
        <f t="shared" si="1"/>
        <v>441.35</v>
      </c>
    </row>
    <row r="13" spans="1:11" x14ac:dyDescent="0.3">
      <c r="A13" s="2">
        <v>45334</v>
      </c>
      <c r="B13" s="3">
        <v>0</v>
      </c>
      <c r="C13" s="3">
        <v>0</v>
      </c>
      <c r="D13" s="3">
        <v>335</v>
      </c>
      <c r="E13" s="3"/>
      <c r="F13" s="3">
        <f>SUM(B13:D13)</f>
        <v>335</v>
      </c>
      <c r="G13" s="3"/>
      <c r="H13" s="3">
        <v>12.19</v>
      </c>
      <c r="I13" s="3">
        <f t="shared" si="1"/>
        <v>322.81</v>
      </c>
    </row>
    <row r="14" spans="1:11" x14ac:dyDescent="0.3">
      <c r="A14" s="2">
        <v>45335</v>
      </c>
      <c r="B14" s="3">
        <v>0</v>
      </c>
      <c r="C14" s="3">
        <v>0</v>
      </c>
      <c r="D14" s="3">
        <v>547</v>
      </c>
      <c r="E14" s="3"/>
      <c r="F14" s="3">
        <f>SUM(B14:D14)</f>
        <v>547</v>
      </c>
      <c r="G14" s="3"/>
      <c r="H14" s="3">
        <v>19.920000000000002</v>
      </c>
      <c r="I14" s="3">
        <f t="shared" si="1"/>
        <v>527.08000000000004</v>
      </c>
    </row>
    <row r="15" spans="1:11" x14ac:dyDescent="0.3">
      <c r="A15" s="2">
        <v>45336</v>
      </c>
      <c r="B15" s="3">
        <v>0</v>
      </c>
      <c r="C15" s="3">
        <v>0</v>
      </c>
      <c r="D15" s="3">
        <v>89</v>
      </c>
      <c r="E15" s="3"/>
      <c r="F15" s="3">
        <f>+SUM(B15:D15)</f>
        <v>89</v>
      </c>
      <c r="G15" s="3"/>
      <c r="H15" s="3">
        <v>3.27</v>
      </c>
      <c r="I15" s="3">
        <f t="shared" si="1"/>
        <v>85.73</v>
      </c>
    </row>
    <row r="16" spans="1:11" x14ac:dyDescent="0.3">
      <c r="A16" s="2">
        <v>45337</v>
      </c>
      <c r="B16" s="3">
        <v>118</v>
      </c>
      <c r="C16" s="3">
        <v>0</v>
      </c>
      <c r="D16" s="13">
        <v>547</v>
      </c>
      <c r="E16" s="3"/>
      <c r="F16" s="13">
        <f t="shared" si="0"/>
        <v>665</v>
      </c>
      <c r="G16" s="3"/>
      <c r="H16" s="13">
        <v>21.14</v>
      </c>
      <c r="I16" s="13">
        <f t="shared" si="1"/>
        <v>643.86</v>
      </c>
    </row>
    <row r="17" spans="1:9" x14ac:dyDescent="0.3">
      <c r="A17" s="2">
        <v>45338</v>
      </c>
      <c r="B17" s="3">
        <v>0</v>
      </c>
      <c r="C17" s="3">
        <v>0</v>
      </c>
      <c r="D17" s="3">
        <v>246</v>
      </c>
      <c r="E17" s="3"/>
      <c r="F17" s="3">
        <f t="shared" si="0"/>
        <v>246</v>
      </c>
      <c r="G17" s="3"/>
      <c r="H17" s="3">
        <v>8.92</v>
      </c>
      <c r="I17" s="3">
        <f t="shared" si="1"/>
        <v>237.08</v>
      </c>
    </row>
    <row r="18" spans="1:9" x14ac:dyDescent="0.3">
      <c r="A18" s="2">
        <v>45339</v>
      </c>
      <c r="B18" s="3">
        <v>0</v>
      </c>
      <c r="C18" s="3">
        <v>0</v>
      </c>
      <c r="D18" s="3">
        <v>335</v>
      </c>
      <c r="E18" s="3"/>
      <c r="F18" s="3">
        <f t="shared" si="0"/>
        <v>335</v>
      </c>
      <c r="G18" s="3"/>
      <c r="H18" s="3">
        <v>11.03</v>
      </c>
      <c r="I18" s="3">
        <f t="shared" si="1"/>
        <v>323.97000000000003</v>
      </c>
    </row>
    <row r="19" spans="1:9" x14ac:dyDescent="0.3">
      <c r="A19" s="2">
        <v>45340</v>
      </c>
      <c r="B19" s="3">
        <v>0</v>
      </c>
      <c r="C19" s="3">
        <v>0</v>
      </c>
      <c r="D19" s="3">
        <v>176</v>
      </c>
      <c r="E19" s="3"/>
      <c r="F19" s="3">
        <f t="shared" si="0"/>
        <v>176</v>
      </c>
      <c r="G19" s="3"/>
      <c r="H19" s="3">
        <v>6.31</v>
      </c>
      <c r="I19" s="3">
        <f t="shared" si="1"/>
        <v>169.69</v>
      </c>
    </row>
    <row r="20" spans="1:9" x14ac:dyDescent="0.3">
      <c r="A20" s="2">
        <v>45341</v>
      </c>
      <c r="B20" s="3">
        <v>0</v>
      </c>
      <c r="C20" s="3">
        <v>0</v>
      </c>
      <c r="D20" s="3">
        <v>246</v>
      </c>
      <c r="E20" s="3"/>
      <c r="F20" s="3">
        <f t="shared" si="0"/>
        <v>246</v>
      </c>
      <c r="G20" s="3"/>
      <c r="H20" s="3">
        <v>8.92</v>
      </c>
      <c r="I20" s="3">
        <f t="shared" si="1"/>
        <v>237.08</v>
      </c>
    </row>
    <row r="21" spans="1:9" x14ac:dyDescent="0.3">
      <c r="A21" s="2">
        <v>45342</v>
      </c>
      <c r="B21" s="3">
        <v>118</v>
      </c>
      <c r="C21" s="3">
        <v>0</v>
      </c>
      <c r="D21" s="3">
        <v>326</v>
      </c>
      <c r="E21" s="3"/>
      <c r="F21" s="3">
        <f t="shared" si="0"/>
        <v>444</v>
      </c>
      <c r="G21" s="3"/>
      <c r="H21" s="3">
        <v>11.44</v>
      </c>
      <c r="I21" s="3">
        <f t="shared" si="1"/>
        <v>432.56</v>
      </c>
    </row>
    <row r="22" spans="1:9" x14ac:dyDescent="0.3">
      <c r="A22" s="2">
        <v>45343</v>
      </c>
      <c r="B22" s="3">
        <v>0</v>
      </c>
      <c r="C22" s="3">
        <v>0</v>
      </c>
      <c r="D22" s="3">
        <v>428</v>
      </c>
      <c r="E22" s="3"/>
      <c r="F22" s="3">
        <f t="shared" si="0"/>
        <v>428</v>
      </c>
      <c r="G22" s="3"/>
      <c r="H22" s="3">
        <v>15.01</v>
      </c>
      <c r="I22" s="3">
        <f t="shared" si="1"/>
        <v>412.99</v>
      </c>
    </row>
    <row r="23" spans="1:9" x14ac:dyDescent="0.3">
      <c r="A23" s="2">
        <v>45344</v>
      </c>
      <c r="B23" s="3">
        <v>93</v>
      </c>
      <c r="C23" s="3">
        <v>0</v>
      </c>
      <c r="D23" s="3">
        <v>237</v>
      </c>
      <c r="E23" s="3"/>
      <c r="F23" s="3">
        <f t="shared" si="0"/>
        <v>330</v>
      </c>
      <c r="G23" s="3"/>
      <c r="H23" s="3">
        <v>8.76</v>
      </c>
      <c r="I23" s="3">
        <f t="shared" si="1"/>
        <v>321.24</v>
      </c>
    </row>
    <row r="24" spans="1:9" x14ac:dyDescent="0.3">
      <c r="A24" s="2">
        <v>45345</v>
      </c>
      <c r="B24" s="3">
        <v>0</v>
      </c>
      <c r="C24" s="3">
        <v>0</v>
      </c>
      <c r="D24" s="3">
        <v>212</v>
      </c>
      <c r="E24" s="3"/>
      <c r="F24" s="3">
        <f t="shared" si="0"/>
        <v>212</v>
      </c>
      <c r="G24" s="3"/>
      <c r="H24" s="3">
        <v>7.73</v>
      </c>
      <c r="I24" s="3">
        <f t="shared" si="1"/>
        <v>204.27</v>
      </c>
    </row>
    <row r="25" spans="1:9" x14ac:dyDescent="0.3">
      <c r="A25" s="2">
        <v>45346</v>
      </c>
      <c r="B25" s="3">
        <v>0</v>
      </c>
      <c r="C25" s="3">
        <v>0</v>
      </c>
      <c r="D25" s="3">
        <v>212</v>
      </c>
      <c r="E25" s="3"/>
      <c r="F25" s="3">
        <f t="shared" si="0"/>
        <v>212</v>
      </c>
      <c r="G25" s="3"/>
      <c r="H25" s="3">
        <v>7.73</v>
      </c>
      <c r="I25" s="3">
        <f t="shared" si="1"/>
        <v>204.27</v>
      </c>
    </row>
    <row r="26" spans="1:9" x14ac:dyDescent="0.3">
      <c r="A26" s="2">
        <v>45347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9" x14ac:dyDescent="0.3">
      <c r="A27" s="2">
        <v>45348</v>
      </c>
      <c r="B27" s="3">
        <v>0</v>
      </c>
      <c r="C27" s="3">
        <v>0</v>
      </c>
      <c r="D27" s="3">
        <v>615</v>
      </c>
      <c r="E27" s="3"/>
      <c r="F27" s="3">
        <f t="shared" si="0"/>
        <v>615</v>
      </c>
      <c r="G27" s="3"/>
      <c r="H27" s="3">
        <v>22.3</v>
      </c>
      <c r="I27" s="3">
        <f t="shared" si="1"/>
        <v>592.70000000000005</v>
      </c>
    </row>
    <row r="28" spans="1:9" x14ac:dyDescent="0.3">
      <c r="A28" s="2">
        <v>45349</v>
      </c>
      <c r="B28" s="3">
        <v>0</v>
      </c>
      <c r="C28" s="3">
        <v>0</v>
      </c>
      <c r="D28" s="3">
        <v>630</v>
      </c>
      <c r="E28" s="4"/>
      <c r="F28" s="3">
        <f t="shared" si="0"/>
        <v>630</v>
      </c>
      <c r="G28" s="3"/>
      <c r="H28" s="3">
        <v>20.059999999999999</v>
      </c>
      <c r="I28" s="3">
        <f t="shared" si="1"/>
        <v>609.94000000000005</v>
      </c>
    </row>
    <row r="29" spans="1:9" x14ac:dyDescent="0.3">
      <c r="A29" s="2">
        <v>45350</v>
      </c>
      <c r="B29" s="3">
        <v>0</v>
      </c>
      <c r="C29" s="3">
        <v>0</v>
      </c>
      <c r="D29" s="3">
        <v>1231</v>
      </c>
      <c r="E29" s="3"/>
      <c r="F29" s="3">
        <f t="shared" si="0"/>
        <v>1231</v>
      </c>
      <c r="G29" s="3"/>
      <c r="H29" s="3">
        <v>44.47</v>
      </c>
      <c r="I29" s="3">
        <f t="shared" si="1"/>
        <v>1186.53</v>
      </c>
    </row>
    <row r="30" spans="1:9" x14ac:dyDescent="0.3">
      <c r="A30" s="2">
        <v>45351</v>
      </c>
      <c r="B30" s="3">
        <v>0</v>
      </c>
      <c r="C30" s="3">
        <v>0</v>
      </c>
      <c r="D30" s="3">
        <v>770</v>
      </c>
      <c r="E30" s="3"/>
      <c r="F30" s="3">
        <f t="shared" si="0"/>
        <v>770</v>
      </c>
      <c r="G30" s="3"/>
      <c r="H30" s="3">
        <v>27.88</v>
      </c>
      <c r="I30" s="3">
        <f t="shared" si="1"/>
        <v>742.12</v>
      </c>
    </row>
    <row r="31" spans="1:9" x14ac:dyDescent="0.3">
      <c r="A31" s="2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2"/>
      <c r="B32" s="1"/>
      <c r="C32" s="1"/>
      <c r="D32" s="1"/>
      <c r="E32" s="1"/>
      <c r="F32" s="3"/>
      <c r="G32" s="3"/>
      <c r="H32" s="3"/>
      <c r="I32" s="3"/>
    </row>
    <row r="33" spans="2:8" x14ac:dyDescent="0.3">
      <c r="B33" s="1"/>
      <c r="C33" s="1"/>
      <c r="D33" s="1"/>
      <c r="H33" s="1"/>
    </row>
    <row r="34" spans="2:8" x14ac:dyDescent="0.3">
      <c r="B34" s="1"/>
      <c r="C34" s="1"/>
      <c r="D34" s="1"/>
      <c r="H3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D32" sqref="D32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45352</v>
      </c>
      <c r="B2" s="3">
        <v>0</v>
      </c>
      <c r="C2" s="3">
        <v>0</v>
      </c>
      <c r="D2" s="3">
        <v>212</v>
      </c>
      <c r="E2" s="3"/>
      <c r="F2" s="3">
        <f>SUM(B2:D2)</f>
        <v>212</v>
      </c>
      <c r="G2" s="3"/>
      <c r="H2" s="3">
        <v>7.73</v>
      </c>
      <c r="I2" s="3">
        <f>F2-H2</f>
        <v>204.27</v>
      </c>
    </row>
    <row r="3" spans="1:11" x14ac:dyDescent="0.3">
      <c r="A3" s="2">
        <v>45353</v>
      </c>
      <c r="B3" s="3">
        <v>0</v>
      </c>
      <c r="C3" s="3">
        <v>0</v>
      </c>
      <c r="D3" s="3">
        <v>246</v>
      </c>
      <c r="E3" s="3"/>
      <c r="F3" s="3">
        <f t="shared" ref="F3:F32" si="0">SUM(B3:D3)</f>
        <v>246</v>
      </c>
      <c r="G3" s="3"/>
      <c r="H3" s="3">
        <v>8.92</v>
      </c>
      <c r="I3" s="3">
        <f t="shared" ref="I3:I32" si="1">F3-H3</f>
        <v>237.08</v>
      </c>
    </row>
    <row r="4" spans="1:11" x14ac:dyDescent="0.3">
      <c r="A4" s="2">
        <v>45354</v>
      </c>
      <c r="B4" s="3">
        <v>0</v>
      </c>
      <c r="C4" s="3">
        <v>0</v>
      </c>
      <c r="D4" s="3">
        <v>0</v>
      </c>
      <c r="E4" s="3"/>
      <c r="F4" s="3">
        <f t="shared" si="0"/>
        <v>0</v>
      </c>
      <c r="G4" s="3"/>
      <c r="H4" s="3">
        <v>0</v>
      </c>
      <c r="I4" s="3">
        <f t="shared" si="1"/>
        <v>0</v>
      </c>
      <c r="K4" s="11" t="s">
        <v>13</v>
      </c>
    </row>
    <row r="5" spans="1:11" x14ac:dyDescent="0.3">
      <c r="A5" s="2">
        <v>45355</v>
      </c>
      <c r="B5" s="3">
        <v>0</v>
      </c>
      <c r="C5" s="3">
        <v>0</v>
      </c>
      <c r="D5" s="3">
        <v>458</v>
      </c>
      <c r="E5" s="3"/>
      <c r="F5" s="3">
        <f t="shared" si="0"/>
        <v>458</v>
      </c>
      <c r="G5" s="3"/>
      <c r="H5" s="3">
        <v>16.649999999999999</v>
      </c>
      <c r="I5" s="3">
        <f t="shared" si="1"/>
        <v>441.35</v>
      </c>
      <c r="K5" s="11" t="s">
        <v>12</v>
      </c>
    </row>
    <row r="6" spans="1:11" x14ac:dyDescent="0.3">
      <c r="A6" s="2">
        <v>45356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12">
        <f>SUM(F2:F32)</f>
        <v>11975</v>
      </c>
    </row>
    <row r="7" spans="1:11" x14ac:dyDescent="0.3">
      <c r="A7" s="2">
        <v>45357</v>
      </c>
      <c r="B7" s="3">
        <v>0</v>
      </c>
      <c r="C7" s="3">
        <v>0</v>
      </c>
      <c r="D7" s="3">
        <v>551</v>
      </c>
      <c r="E7" s="3"/>
      <c r="F7" s="3">
        <f t="shared" si="0"/>
        <v>551</v>
      </c>
      <c r="G7" s="3"/>
      <c r="H7" s="3">
        <v>18.309999999999999</v>
      </c>
      <c r="I7" s="3">
        <f t="shared" si="1"/>
        <v>532.69000000000005</v>
      </c>
      <c r="K7" s="11" t="s">
        <v>9</v>
      </c>
    </row>
    <row r="8" spans="1:11" x14ac:dyDescent="0.3">
      <c r="A8" s="2">
        <v>45358</v>
      </c>
      <c r="B8" s="3">
        <v>0</v>
      </c>
      <c r="C8" s="3">
        <v>0</v>
      </c>
      <c r="D8" s="3">
        <v>212</v>
      </c>
      <c r="E8" s="3"/>
      <c r="F8" s="3">
        <f t="shared" si="0"/>
        <v>212</v>
      </c>
      <c r="G8" s="3"/>
      <c r="H8" s="3">
        <v>7.73</v>
      </c>
      <c r="I8" s="3">
        <f t="shared" si="1"/>
        <v>204.27</v>
      </c>
      <c r="K8" s="12">
        <f>SUM(H:H)</f>
        <v>410.15000000000003</v>
      </c>
    </row>
    <row r="9" spans="1:11" x14ac:dyDescent="0.3">
      <c r="A9" s="2">
        <v>45359</v>
      </c>
      <c r="B9" s="3">
        <v>0</v>
      </c>
      <c r="C9" s="3">
        <v>0</v>
      </c>
      <c r="D9" s="3">
        <v>246</v>
      </c>
      <c r="E9" s="3"/>
      <c r="F9" s="3">
        <f t="shared" si="0"/>
        <v>246</v>
      </c>
      <c r="G9" s="3"/>
      <c r="H9" s="3">
        <v>8.92</v>
      </c>
      <c r="I9" s="3">
        <f t="shared" si="1"/>
        <v>237.08</v>
      </c>
      <c r="K9" s="11" t="s">
        <v>10</v>
      </c>
    </row>
    <row r="10" spans="1:11" x14ac:dyDescent="0.3">
      <c r="A10" s="2">
        <v>45360</v>
      </c>
      <c r="B10" s="3">
        <v>0</v>
      </c>
      <c r="C10" s="3">
        <v>0</v>
      </c>
      <c r="D10" s="3">
        <v>699</v>
      </c>
      <c r="E10" s="3"/>
      <c r="F10" s="3">
        <f t="shared" si="0"/>
        <v>699</v>
      </c>
      <c r="G10" s="3"/>
      <c r="H10" s="3">
        <v>24.28</v>
      </c>
      <c r="I10" s="3">
        <f t="shared" si="1"/>
        <v>674.72</v>
      </c>
      <c r="K10" s="12">
        <f>SUM(I:I)</f>
        <v>11564.850000000004</v>
      </c>
    </row>
    <row r="11" spans="1:11" x14ac:dyDescent="0.3">
      <c r="A11" s="2">
        <v>45361</v>
      </c>
      <c r="B11" s="3">
        <v>0</v>
      </c>
      <c r="C11" s="3">
        <v>0</v>
      </c>
      <c r="D11" s="3">
        <v>123</v>
      </c>
      <c r="E11" s="3"/>
      <c r="F11" s="3">
        <f t="shared" si="0"/>
        <v>123</v>
      </c>
      <c r="G11" s="3"/>
      <c r="H11" s="3">
        <v>4.46</v>
      </c>
      <c r="I11" s="3">
        <f t="shared" si="1"/>
        <v>118.54</v>
      </c>
    </row>
    <row r="12" spans="1:11" x14ac:dyDescent="0.3">
      <c r="A12" s="2">
        <v>45362</v>
      </c>
      <c r="B12" s="3">
        <v>0</v>
      </c>
      <c r="C12" s="3">
        <v>0</v>
      </c>
      <c r="D12" s="3">
        <v>458</v>
      </c>
      <c r="E12" s="3"/>
      <c r="F12" s="3">
        <f t="shared" si="0"/>
        <v>458</v>
      </c>
      <c r="G12" s="3"/>
      <c r="H12" s="3">
        <v>16.649999999999999</v>
      </c>
      <c r="I12" s="3">
        <f t="shared" si="1"/>
        <v>441.35</v>
      </c>
    </row>
    <row r="13" spans="1:11" x14ac:dyDescent="0.3">
      <c r="A13" s="2">
        <v>45363</v>
      </c>
      <c r="B13" s="3">
        <v>0</v>
      </c>
      <c r="C13" s="3">
        <v>0</v>
      </c>
      <c r="D13" s="3">
        <v>241</v>
      </c>
      <c r="E13" s="3"/>
      <c r="F13" s="3">
        <f t="shared" si="0"/>
        <v>241</v>
      </c>
      <c r="G13" s="3"/>
      <c r="H13" s="3">
        <v>7.63</v>
      </c>
      <c r="I13" s="3">
        <f t="shared" si="1"/>
        <v>233.37</v>
      </c>
    </row>
    <row r="14" spans="1:11" x14ac:dyDescent="0.3">
      <c r="A14" s="2">
        <v>45364</v>
      </c>
      <c r="B14" s="3">
        <v>59</v>
      </c>
      <c r="C14" s="3">
        <v>0</v>
      </c>
      <c r="D14" s="3">
        <v>694</v>
      </c>
      <c r="E14" s="3"/>
      <c r="F14" s="3">
        <f t="shared" si="0"/>
        <v>753</v>
      </c>
      <c r="G14" s="3"/>
      <c r="H14" s="3">
        <v>23.67</v>
      </c>
      <c r="I14" s="3">
        <f t="shared" si="1"/>
        <v>729.33</v>
      </c>
    </row>
    <row r="15" spans="1:11" x14ac:dyDescent="0.3">
      <c r="A15" s="2">
        <v>45365</v>
      </c>
      <c r="B15" s="3">
        <v>0</v>
      </c>
      <c r="C15" s="3">
        <v>0</v>
      </c>
      <c r="D15" s="3">
        <v>212</v>
      </c>
      <c r="E15" s="3"/>
      <c r="F15" s="3">
        <f t="shared" si="0"/>
        <v>212</v>
      </c>
      <c r="G15" s="3"/>
      <c r="H15" s="3">
        <v>7.73</v>
      </c>
      <c r="I15" s="3">
        <f t="shared" si="1"/>
        <v>204.27</v>
      </c>
    </row>
    <row r="16" spans="1:11" x14ac:dyDescent="0.3">
      <c r="A16" s="2">
        <v>45366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45367</v>
      </c>
      <c r="B17" s="3">
        <v>0</v>
      </c>
      <c r="C17" s="3">
        <v>0</v>
      </c>
      <c r="D17" s="3">
        <v>246</v>
      </c>
      <c r="E17" s="3"/>
      <c r="F17" s="3">
        <f t="shared" si="0"/>
        <v>246</v>
      </c>
      <c r="G17" s="3"/>
      <c r="H17" s="3">
        <v>8.92</v>
      </c>
      <c r="I17" s="3">
        <f t="shared" si="1"/>
        <v>237.08</v>
      </c>
    </row>
    <row r="18" spans="1:9" x14ac:dyDescent="0.3">
      <c r="A18" s="2">
        <v>45368</v>
      </c>
      <c r="B18" s="3">
        <v>0</v>
      </c>
      <c r="C18" s="3">
        <v>0</v>
      </c>
      <c r="D18" s="3">
        <v>335</v>
      </c>
      <c r="E18" s="3"/>
      <c r="F18" s="3">
        <f t="shared" si="0"/>
        <v>335</v>
      </c>
      <c r="G18" s="3"/>
      <c r="H18" s="3">
        <v>12.19</v>
      </c>
      <c r="I18" s="3">
        <f t="shared" si="1"/>
        <v>322.81</v>
      </c>
    </row>
    <row r="19" spans="1:9" x14ac:dyDescent="0.3">
      <c r="A19" s="2">
        <v>45369</v>
      </c>
      <c r="B19" s="3">
        <v>0</v>
      </c>
      <c r="C19" s="3">
        <v>0</v>
      </c>
      <c r="D19" s="3">
        <v>246</v>
      </c>
      <c r="E19" s="3"/>
      <c r="F19" s="3">
        <f t="shared" si="0"/>
        <v>246</v>
      </c>
      <c r="G19" s="3"/>
      <c r="H19" s="3">
        <v>8.76</v>
      </c>
      <c r="I19" s="3">
        <f t="shared" si="1"/>
        <v>237.24</v>
      </c>
    </row>
    <row r="20" spans="1:9" x14ac:dyDescent="0.3">
      <c r="A20" s="2">
        <v>45370</v>
      </c>
      <c r="B20" s="3">
        <v>59</v>
      </c>
      <c r="C20" s="3">
        <v>0</v>
      </c>
      <c r="D20" s="3">
        <v>246</v>
      </c>
      <c r="E20" s="3"/>
      <c r="F20" s="3">
        <f t="shared" si="0"/>
        <v>305</v>
      </c>
      <c r="G20" s="3"/>
      <c r="H20" s="3">
        <v>8.92</v>
      </c>
      <c r="I20" s="3">
        <f t="shared" si="1"/>
        <v>296.08</v>
      </c>
    </row>
    <row r="21" spans="1:9" x14ac:dyDescent="0.3">
      <c r="A21" s="2">
        <v>45371</v>
      </c>
      <c r="B21" s="3">
        <v>0</v>
      </c>
      <c r="C21" s="3">
        <v>0</v>
      </c>
      <c r="D21" s="3">
        <v>542</v>
      </c>
      <c r="E21" s="3"/>
      <c r="F21" s="3">
        <f t="shared" si="0"/>
        <v>542</v>
      </c>
      <c r="G21" s="3"/>
      <c r="H21" s="3">
        <v>18.87</v>
      </c>
      <c r="I21" s="3">
        <f t="shared" si="1"/>
        <v>523.13</v>
      </c>
    </row>
    <row r="22" spans="1:9" x14ac:dyDescent="0.3">
      <c r="A22" s="2">
        <v>45372</v>
      </c>
      <c r="B22" s="3">
        <v>93</v>
      </c>
      <c r="C22" s="3">
        <v>0</v>
      </c>
      <c r="D22" s="3">
        <v>246</v>
      </c>
      <c r="E22" s="3"/>
      <c r="F22" s="3">
        <f t="shared" si="0"/>
        <v>339</v>
      </c>
      <c r="G22" s="3"/>
      <c r="H22" s="3">
        <v>8.92</v>
      </c>
      <c r="I22" s="3">
        <f t="shared" si="1"/>
        <v>330.08</v>
      </c>
    </row>
    <row r="23" spans="1:9" x14ac:dyDescent="0.3">
      <c r="A23" s="2">
        <v>45373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45374</v>
      </c>
      <c r="B24" s="3">
        <v>0</v>
      </c>
      <c r="C24" s="3">
        <v>0</v>
      </c>
      <c r="D24" s="3">
        <v>553</v>
      </c>
      <c r="E24" s="3"/>
      <c r="F24" s="3">
        <f t="shared" si="0"/>
        <v>553</v>
      </c>
      <c r="G24" s="3"/>
      <c r="H24" s="3">
        <v>16.8</v>
      </c>
      <c r="I24" s="3">
        <f t="shared" si="1"/>
        <v>536.20000000000005</v>
      </c>
    </row>
    <row r="25" spans="1:9" x14ac:dyDescent="0.3">
      <c r="A25" s="2">
        <v>45375</v>
      </c>
      <c r="B25" s="3">
        <v>0</v>
      </c>
      <c r="C25" s="3">
        <v>0</v>
      </c>
      <c r="D25" s="3">
        <v>212</v>
      </c>
      <c r="E25" s="3"/>
      <c r="F25" s="3">
        <f t="shared" si="0"/>
        <v>212</v>
      </c>
      <c r="G25" s="3"/>
      <c r="H25" s="3">
        <v>7.73</v>
      </c>
      <c r="I25" s="3">
        <f t="shared" si="1"/>
        <v>204.27</v>
      </c>
    </row>
    <row r="26" spans="1:9" x14ac:dyDescent="0.3">
      <c r="A26" s="2">
        <v>45376</v>
      </c>
      <c r="B26" s="3">
        <v>0</v>
      </c>
      <c r="C26" s="3">
        <v>0</v>
      </c>
      <c r="D26" s="3">
        <v>212</v>
      </c>
      <c r="E26" s="3"/>
      <c r="F26" s="3">
        <f t="shared" si="0"/>
        <v>212</v>
      </c>
      <c r="G26" s="3"/>
      <c r="H26" s="3">
        <v>7.73</v>
      </c>
      <c r="I26" s="3">
        <f t="shared" si="1"/>
        <v>204.27</v>
      </c>
    </row>
    <row r="27" spans="1:9" x14ac:dyDescent="0.3">
      <c r="A27" s="2">
        <v>45377</v>
      </c>
      <c r="B27" s="3">
        <v>0</v>
      </c>
      <c r="C27" s="3">
        <v>0</v>
      </c>
      <c r="D27" s="3">
        <v>797</v>
      </c>
      <c r="E27" s="3"/>
      <c r="F27" s="3">
        <f t="shared" si="0"/>
        <v>797</v>
      </c>
      <c r="G27" s="3"/>
      <c r="H27" s="3">
        <v>27.23</v>
      </c>
      <c r="I27" s="3">
        <f t="shared" si="1"/>
        <v>769.77</v>
      </c>
    </row>
    <row r="28" spans="1:9" x14ac:dyDescent="0.3">
      <c r="A28" s="2">
        <v>45378</v>
      </c>
      <c r="B28" s="3">
        <v>0</v>
      </c>
      <c r="C28" s="3">
        <v>0</v>
      </c>
      <c r="D28" s="3">
        <v>398</v>
      </c>
      <c r="E28" s="4"/>
      <c r="F28" s="3">
        <f t="shared" si="0"/>
        <v>398</v>
      </c>
      <c r="G28" s="3"/>
      <c r="H28" s="3">
        <v>13.07</v>
      </c>
      <c r="I28" s="3">
        <f t="shared" si="1"/>
        <v>384.93</v>
      </c>
    </row>
    <row r="29" spans="1:9" x14ac:dyDescent="0.3">
      <c r="A29" s="2">
        <v>45379</v>
      </c>
      <c r="B29" s="3">
        <v>93</v>
      </c>
      <c r="C29" s="3">
        <v>0</v>
      </c>
      <c r="D29" s="3">
        <v>1107</v>
      </c>
      <c r="E29" s="3"/>
      <c r="F29" s="3">
        <f t="shared" si="0"/>
        <v>1200</v>
      </c>
      <c r="G29" s="3"/>
      <c r="H29" s="3">
        <v>38.97</v>
      </c>
      <c r="I29" s="3">
        <f t="shared" si="1"/>
        <v>1161.03</v>
      </c>
    </row>
    <row r="30" spans="1:9" x14ac:dyDescent="0.3">
      <c r="A30" s="2">
        <v>45380</v>
      </c>
      <c r="B30" s="3">
        <v>0</v>
      </c>
      <c r="C30" s="3">
        <v>0</v>
      </c>
      <c r="D30" s="3">
        <v>315</v>
      </c>
      <c r="E30" s="3"/>
      <c r="F30" s="3">
        <f t="shared" si="0"/>
        <v>315</v>
      </c>
      <c r="G30" s="3"/>
      <c r="H30" s="3">
        <v>11.64</v>
      </c>
      <c r="I30" s="3">
        <f t="shared" si="1"/>
        <v>303.36</v>
      </c>
    </row>
    <row r="31" spans="1:9" x14ac:dyDescent="0.3">
      <c r="A31" s="2">
        <v>45381</v>
      </c>
      <c r="B31" s="3">
        <v>0</v>
      </c>
      <c r="C31" s="3">
        <v>0</v>
      </c>
      <c r="D31" s="3">
        <v>524</v>
      </c>
      <c r="E31" s="3"/>
      <c r="F31" s="3">
        <f t="shared" si="0"/>
        <v>524</v>
      </c>
      <c r="G31" s="3"/>
      <c r="H31" s="3">
        <v>18.96</v>
      </c>
      <c r="I31" s="3">
        <f t="shared" si="1"/>
        <v>505.04</v>
      </c>
    </row>
    <row r="32" spans="1:9" x14ac:dyDescent="0.3">
      <c r="A32" s="2">
        <v>45382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L27" sqref="L27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45383</v>
      </c>
      <c r="B2" s="3">
        <v>0</v>
      </c>
      <c r="C2" s="3">
        <v>0</v>
      </c>
      <c r="D2" s="3">
        <v>212</v>
      </c>
      <c r="E2" s="3"/>
      <c r="F2" s="3">
        <f>SUM(B2:D2)</f>
        <v>212</v>
      </c>
      <c r="G2" s="3"/>
      <c r="H2" s="3">
        <v>7.73</v>
      </c>
      <c r="I2" s="3">
        <f>F2-H2</f>
        <v>204.27</v>
      </c>
    </row>
    <row r="3" spans="1:11" x14ac:dyDescent="0.3">
      <c r="A3" s="2">
        <v>45384</v>
      </c>
      <c r="B3" s="3">
        <v>0</v>
      </c>
      <c r="C3" s="3">
        <v>0</v>
      </c>
      <c r="D3" s="3">
        <v>406</v>
      </c>
      <c r="E3" s="3"/>
      <c r="F3" s="3">
        <f t="shared" ref="F3:F31" si="0">SUM(B3:D3)</f>
        <v>406</v>
      </c>
      <c r="G3" s="3"/>
      <c r="H3" s="3">
        <v>12.48</v>
      </c>
      <c r="I3" s="3">
        <f t="shared" ref="I3:I31" si="1">F3-H3</f>
        <v>393.52</v>
      </c>
    </row>
    <row r="4" spans="1:11" x14ac:dyDescent="0.3">
      <c r="A4" s="2">
        <v>45385</v>
      </c>
      <c r="B4" s="3">
        <v>0</v>
      </c>
      <c r="C4" s="3">
        <v>0</v>
      </c>
      <c r="D4" s="3">
        <v>123</v>
      </c>
      <c r="E4" s="3"/>
      <c r="F4" s="3">
        <f t="shared" si="0"/>
        <v>123</v>
      </c>
      <c r="G4" s="3"/>
      <c r="H4" s="3">
        <v>3.3</v>
      </c>
      <c r="I4" s="3">
        <f t="shared" si="1"/>
        <v>119.7</v>
      </c>
      <c r="K4" s="5" t="s">
        <v>14</v>
      </c>
    </row>
    <row r="5" spans="1:11" x14ac:dyDescent="0.3">
      <c r="A5" s="2">
        <v>45386</v>
      </c>
      <c r="B5" s="3">
        <v>0</v>
      </c>
      <c r="C5" s="3">
        <v>0</v>
      </c>
      <c r="D5" s="3">
        <v>743</v>
      </c>
      <c r="E5" s="3"/>
      <c r="F5" s="3">
        <f t="shared" si="0"/>
        <v>743</v>
      </c>
      <c r="G5" s="3"/>
      <c r="H5" s="3">
        <v>24.73</v>
      </c>
      <c r="I5" s="3">
        <f t="shared" si="1"/>
        <v>718.27</v>
      </c>
      <c r="K5" s="5" t="s">
        <v>12</v>
      </c>
    </row>
    <row r="6" spans="1:11" x14ac:dyDescent="0.3">
      <c r="A6" s="2">
        <v>45387</v>
      </c>
      <c r="B6" s="3">
        <v>0</v>
      </c>
      <c r="C6" s="3">
        <v>0</v>
      </c>
      <c r="D6" s="3">
        <v>772</v>
      </c>
      <c r="E6" s="3"/>
      <c r="F6" s="3">
        <f t="shared" si="0"/>
        <v>772</v>
      </c>
      <c r="G6" s="3"/>
      <c r="H6" s="3">
        <v>28.1</v>
      </c>
      <c r="I6" s="3">
        <f t="shared" si="1"/>
        <v>743.9</v>
      </c>
      <c r="K6" s="3">
        <f>SUM(F2:F32)</f>
        <v>12253.5</v>
      </c>
    </row>
    <row r="7" spans="1:11" x14ac:dyDescent="0.3">
      <c r="A7" s="2">
        <v>45388</v>
      </c>
      <c r="B7" s="3">
        <v>0</v>
      </c>
      <c r="C7" s="3">
        <v>0</v>
      </c>
      <c r="D7" s="3">
        <v>585</v>
      </c>
      <c r="E7" s="3"/>
      <c r="F7" s="3">
        <f t="shared" si="0"/>
        <v>585</v>
      </c>
      <c r="G7" s="3"/>
      <c r="H7" s="3">
        <v>19.2</v>
      </c>
      <c r="I7" s="3">
        <f t="shared" si="1"/>
        <v>565.79999999999995</v>
      </c>
      <c r="K7" s="5" t="s">
        <v>9</v>
      </c>
    </row>
    <row r="8" spans="1:11" x14ac:dyDescent="0.3">
      <c r="A8" s="2">
        <v>45389</v>
      </c>
      <c r="B8" s="3">
        <v>0</v>
      </c>
      <c r="C8" s="3">
        <v>0</v>
      </c>
      <c r="D8" s="3">
        <v>212</v>
      </c>
      <c r="E8" s="3"/>
      <c r="F8" s="3">
        <f t="shared" si="0"/>
        <v>212</v>
      </c>
      <c r="G8" s="3"/>
      <c r="H8" s="3">
        <v>7.73</v>
      </c>
      <c r="I8" s="3">
        <f t="shared" si="1"/>
        <v>204.27</v>
      </c>
      <c r="K8" s="3">
        <f>SUM(H:H)</f>
        <v>437.54</v>
      </c>
    </row>
    <row r="9" spans="1:11" x14ac:dyDescent="0.3">
      <c r="A9" s="2">
        <v>45390</v>
      </c>
      <c r="B9" s="3">
        <v>0</v>
      </c>
      <c r="C9" s="3">
        <v>0</v>
      </c>
      <c r="D9" s="3">
        <v>246</v>
      </c>
      <c r="E9" s="3"/>
      <c r="F9" s="3">
        <f t="shared" si="0"/>
        <v>246</v>
      </c>
      <c r="G9" s="3"/>
      <c r="H9" s="3">
        <v>8.92</v>
      </c>
      <c r="I9" s="3">
        <f t="shared" si="1"/>
        <v>237.08</v>
      </c>
      <c r="K9" s="5" t="s">
        <v>10</v>
      </c>
    </row>
    <row r="10" spans="1:11" x14ac:dyDescent="0.3">
      <c r="A10" s="2">
        <v>45391</v>
      </c>
      <c r="B10" s="3">
        <v>0</v>
      </c>
      <c r="C10" s="3">
        <v>0</v>
      </c>
      <c r="D10" s="3">
        <v>580</v>
      </c>
      <c r="E10" s="3"/>
      <c r="F10" s="3">
        <f t="shared" si="0"/>
        <v>580</v>
      </c>
      <c r="G10" s="3"/>
      <c r="H10" s="3">
        <v>21.07</v>
      </c>
      <c r="I10" s="3">
        <f t="shared" si="1"/>
        <v>558.92999999999995</v>
      </c>
      <c r="K10" s="3">
        <f>SUM(I:I)</f>
        <v>11815.96</v>
      </c>
    </row>
    <row r="11" spans="1:11" x14ac:dyDescent="0.3">
      <c r="A11" s="2">
        <v>45392</v>
      </c>
      <c r="B11" s="3">
        <v>0</v>
      </c>
      <c r="C11" s="3">
        <v>0</v>
      </c>
      <c r="D11" s="3">
        <v>123</v>
      </c>
      <c r="E11" s="3"/>
      <c r="F11" s="3">
        <f t="shared" si="0"/>
        <v>123</v>
      </c>
      <c r="G11" s="3"/>
      <c r="H11" s="3">
        <v>4.46</v>
      </c>
      <c r="I11" s="3">
        <f t="shared" si="1"/>
        <v>118.54</v>
      </c>
    </row>
    <row r="12" spans="1:11" x14ac:dyDescent="0.3">
      <c r="A12" s="2">
        <v>45393</v>
      </c>
      <c r="B12" s="3">
        <v>0</v>
      </c>
      <c r="C12" s="3">
        <v>0</v>
      </c>
      <c r="D12" s="3">
        <v>670</v>
      </c>
      <c r="E12" s="3"/>
      <c r="F12" s="3">
        <f t="shared" si="0"/>
        <v>670</v>
      </c>
      <c r="G12" s="3"/>
      <c r="H12" s="3">
        <v>24.37</v>
      </c>
      <c r="I12" s="3">
        <f t="shared" si="1"/>
        <v>645.63</v>
      </c>
    </row>
    <row r="13" spans="1:11" x14ac:dyDescent="0.3">
      <c r="A13" s="2">
        <v>45394</v>
      </c>
      <c r="B13" s="3">
        <v>0</v>
      </c>
      <c r="C13" s="3">
        <v>0</v>
      </c>
      <c r="D13" s="3">
        <v>0</v>
      </c>
      <c r="E13" s="3"/>
      <c r="F13" s="3">
        <f t="shared" si="0"/>
        <v>0</v>
      </c>
      <c r="G13" s="3"/>
      <c r="H13" s="3">
        <v>0</v>
      </c>
      <c r="I13" s="3">
        <f t="shared" si="1"/>
        <v>0</v>
      </c>
    </row>
    <row r="14" spans="1:11" x14ac:dyDescent="0.3">
      <c r="A14" s="2">
        <v>45395</v>
      </c>
      <c r="B14" s="3">
        <v>0</v>
      </c>
      <c r="C14" s="3">
        <v>0</v>
      </c>
      <c r="D14" s="3">
        <v>609.5</v>
      </c>
      <c r="E14" s="3"/>
      <c r="F14" s="3">
        <f t="shared" si="0"/>
        <v>609.5</v>
      </c>
      <c r="G14" s="3"/>
      <c r="H14" s="3">
        <v>23.25</v>
      </c>
      <c r="I14" s="3">
        <f t="shared" si="1"/>
        <v>586.25</v>
      </c>
    </row>
    <row r="15" spans="1:11" x14ac:dyDescent="0.3">
      <c r="A15" s="2">
        <v>45396</v>
      </c>
      <c r="B15" s="3">
        <v>0</v>
      </c>
      <c r="C15" s="3">
        <v>0</v>
      </c>
      <c r="D15" s="3">
        <v>212</v>
      </c>
      <c r="E15" s="3"/>
      <c r="F15" s="3">
        <f t="shared" si="0"/>
        <v>212</v>
      </c>
      <c r="G15" s="3"/>
      <c r="H15" s="3">
        <v>7.73</v>
      </c>
      <c r="I15" s="3">
        <f t="shared" si="1"/>
        <v>204.27</v>
      </c>
    </row>
    <row r="16" spans="1:11" x14ac:dyDescent="0.3">
      <c r="A16" s="2">
        <v>45397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11" x14ac:dyDescent="0.3">
      <c r="A17" s="2">
        <v>45398</v>
      </c>
      <c r="B17" s="3">
        <v>0</v>
      </c>
      <c r="C17" s="3">
        <v>0</v>
      </c>
      <c r="D17" s="3">
        <v>246</v>
      </c>
      <c r="E17" s="3"/>
      <c r="F17" s="3">
        <f t="shared" si="0"/>
        <v>246</v>
      </c>
      <c r="G17" s="3"/>
      <c r="H17" s="3">
        <v>8.92</v>
      </c>
      <c r="I17" s="3">
        <f t="shared" si="1"/>
        <v>237.08</v>
      </c>
    </row>
    <row r="18" spans="1:11" x14ac:dyDescent="0.3">
      <c r="A18" s="2">
        <v>45399</v>
      </c>
      <c r="B18" s="3">
        <v>0</v>
      </c>
      <c r="C18" s="3">
        <v>0</v>
      </c>
      <c r="D18" s="3">
        <v>453</v>
      </c>
      <c r="E18" s="3"/>
      <c r="F18" s="3">
        <f t="shared" si="0"/>
        <v>453</v>
      </c>
      <c r="G18" s="3"/>
      <c r="H18" s="3">
        <v>15.36</v>
      </c>
      <c r="I18" s="3">
        <f t="shared" si="1"/>
        <v>437.64</v>
      </c>
    </row>
    <row r="19" spans="1:11" x14ac:dyDescent="0.3">
      <c r="A19" s="2">
        <v>45400</v>
      </c>
      <c r="B19" s="3">
        <v>0</v>
      </c>
      <c r="C19" s="3">
        <v>0</v>
      </c>
      <c r="D19" s="3">
        <v>166</v>
      </c>
      <c r="E19" s="3"/>
      <c r="F19" s="3">
        <f t="shared" si="0"/>
        <v>166</v>
      </c>
      <c r="G19" s="3"/>
      <c r="H19" s="3">
        <v>5.96</v>
      </c>
      <c r="I19" s="3">
        <f t="shared" si="1"/>
        <v>160.04</v>
      </c>
    </row>
    <row r="20" spans="1:11" x14ac:dyDescent="0.3">
      <c r="A20" s="2">
        <v>45401</v>
      </c>
      <c r="B20" s="3">
        <v>0</v>
      </c>
      <c r="C20" s="3">
        <v>0</v>
      </c>
      <c r="D20" s="3">
        <v>280</v>
      </c>
      <c r="E20" s="3"/>
      <c r="F20" s="3">
        <f t="shared" si="0"/>
        <v>280</v>
      </c>
      <c r="G20" s="3"/>
      <c r="H20" s="3">
        <v>10.26</v>
      </c>
      <c r="I20" s="3">
        <f t="shared" si="1"/>
        <v>269.74</v>
      </c>
      <c r="K20" t="s">
        <v>23</v>
      </c>
    </row>
    <row r="21" spans="1:11" x14ac:dyDescent="0.3">
      <c r="A21" s="2">
        <v>45402</v>
      </c>
      <c r="B21" s="3">
        <v>0</v>
      </c>
      <c r="C21" s="3">
        <v>0</v>
      </c>
      <c r="D21" s="3">
        <v>390</v>
      </c>
      <c r="E21" s="3"/>
      <c r="F21" s="3">
        <f t="shared" si="0"/>
        <v>390</v>
      </c>
      <c r="G21" s="3"/>
      <c r="H21" s="3">
        <v>14.27</v>
      </c>
      <c r="I21" s="3">
        <f t="shared" si="1"/>
        <v>375.73</v>
      </c>
    </row>
    <row r="22" spans="1:11" x14ac:dyDescent="0.3">
      <c r="A22" s="2">
        <v>45403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11" x14ac:dyDescent="0.3">
      <c r="A23" s="2">
        <v>45404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11" x14ac:dyDescent="0.3">
      <c r="A24" s="2">
        <v>45405</v>
      </c>
      <c r="B24" s="3">
        <v>0</v>
      </c>
      <c r="C24" s="3">
        <v>0</v>
      </c>
      <c r="D24" s="3">
        <v>526</v>
      </c>
      <c r="E24" s="3"/>
      <c r="F24" s="3">
        <f t="shared" si="0"/>
        <v>526</v>
      </c>
      <c r="G24" s="3"/>
      <c r="H24" s="3">
        <v>19.329999999999998</v>
      </c>
      <c r="I24" s="3">
        <f t="shared" si="1"/>
        <v>506.67</v>
      </c>
    </row>
    <row r="25" spans="1:11" x14ac:dyDescent="0.3">
      <c r="A25" s="2">
        <v>45406</v>
      </c>
      <c r="B25" s="3">
        <v>0</v>
      </c>
      <c r="C25" s="3">
        <v>0</v>
      </c>
      <c r="D25" s="3">
        <v>521</v>
      </c>
      <c r="E25" s="3"/>
      <c r="F25" s="3">
        <f t="shared" si="0"/>
        <v>521</v>
      </c>
      <c r="G25" s="3"/>
      <c r="H25" s="3">
        <v>20.18</v>
      </c>
      <c r="I25" s="3">
        <f t="shared" si="1"/>
        <v>500.82</v>
      </c>
    </row>
    <row r="26" spans="1:11" x14ac:dyDescent="0.3">
      <c r="A26" s="2">
        <v>45407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11" x14ac:dyDescent="0.3">
      <c r="A27" s="2">
        <v>45408</v>
      </c>
      <c r="B27" s="3">
        <v>0</v>
      </c>
      <c r="C27" s="3">
        <v>0</v>
      </c>
      <c r="D27" s="3">
        <v>738</v>
      </c>
      <c r="E27" s="3"/>
      <c r="F27" s="3">
        <f t="shared" si="0"/>
        <v>738</v>
      </c>
      <c r="G27" s="3"/>
      <c r="H27" s="3">
        <v>26.76</v>
      </c>
      <c r="I27" s="3">
        <f t="shared" si="1"/>
        <v>711.24</v>
      </c>
    </row>
    <row r="28" spans="1:11" x14ac:dyDescent="0.3">
      <c r="A28" s="2">
        <v>45409</v>
      </c>
      <c r="B28" s="3">
        <v>0</v>
      </c>
      <c r="C28" s="3">
        <v>0</v>
      </c>
      <c r="D28" s="3">
        <v>266</v>
      </c>
      <c r="E28" s="4"/>
      <c r="F28" s="3">
        <f t="shared" si="0"/>
        <v>266</v>
      </c>
      <c r="G28" s="3"/>
      <c r="H28" s="3">
        <v>9.77</v>
      </c>
      <c r="I28" s="3">
        <f t="shared" si="1"/>
        <v>256.23</v>
      </c>
    </row>
    <row r="29" spans="1:11" x14ac:dyDescent="0.3">
      <c r="A29" s="2">
        <v>45410</v>
      </c>
      <c r="B29" s="3">
        <v>0</v>
      </c>
      <c r="C29" s="3">
        <v>0</v>
      </c>
      <c r="D29" s="3">
        <v>827</v>
      </c>
      <c r="E29" s="3"/>
      <c r="F29" s="3">
        <f t="shared" si="0"/>
        <v>827</v>
      </c>
      <c r="G29" s="3"/>
      <c r="H29" s="3">
        <v>29.87</v>
      </c>
      <c r="I29" s="3">
        <f t="shared" si="1"/>
        <v>797.13</v>
      </c>
    </row>
    <row r="30" spans="1:11" x14ac:dyDescent="0.3">
      <c r="A30" s="2">
        <v>45411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11" x14ac:dyDescent="0.3">
      <c r="A31" s="2">
        <v>45412</v>
      </c>
      <c r="B31" s="3">
        <v>0</v>
      </c>
      <c r="C31" s="3">
        <v>0</v>
      </c>
      <c r="D31" s="3">
        <v>918</v>
      </c>
      <c r="E31" s="3"/>
      <c r="F31" s="3">
        <f t="shared" si="0"/>
        <v>918</v>
      </c>
      <c r="G31" s="3"/>
      <c r="H31" s="3">
        <v>31.76</v>
      </c>
      <c r="I31" s="3">
        <f t="shared" si="1"/>
        <v>886.24</v>
      </c>
    </row>
    <row r="32" spans="1:11" x14ac:dyDescent="0.3">
      <c r="A32" s="2"/>
      <c r="B32" s="1"/>
      <c r="C32" s="1"/>
      <c r="D32" s="1"/>
      <c r="E32" s="1"/>
      <c r="F32" s="3"/>
      <c r="G32" s="3"/>
      <c r="H32" s="3"/>
      <c r="I32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9" workbookViewId="0">
      <selection activeCell="L28" sqref="L28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45413</v>
      </c>
      <c r="B2" s="3">
        <v>0</v>
      </c>
      <c r="C2" s="3">
        <v>0</v>
      </c>
      <c r="D2" s="3">
        <v>212</v>
      </c>
      <c r="E2" s="3"/>
      <c r="F2" s="3">
        <f>SUM(B2:D2)</f>
        <v>212</v>
      </c>
      <c r="G2" s="3"/>
      <c r="H2" s="3">
        <v>7.73</v>
      </c>
      <c r="I2" s="3">
        <f>F2-H2</f>
        <v>204.27</v>
      </c>
    </row>
    <row r="3" spans="1:11" x14ac:dyDescent="0.3">
      <c r="A3" s="2">
        <v>45414</v>
      </c>
      <c r="B3" s="3">
        <v>158</v>
      </c>
      <c r="C3" s="3">
        <v>0</v>
      </c>
      <c r="D3" s="3">
        <v>370</v>
      </c>
      <c r="E3" s="3"/>
      <c r="F3" s="3">
        <f t="shared" ref="F3:F32" si="0">SUM(B3:D3)</f>
        <v>528</v>
      </c>
      <c r="G3" s="3"/>
      <c r="H3" s="3">
        <v>12.68</v>
      </c>
      <c r="I3" s="3">
        <f t="shared" ref="I3:I32" si="1">F3-H3</f>
        <v>515.32000000000005</v>
      </c>
    </row>
    <row r="4" spans="1:11" x14ac:dyDescent="0.3">
      <c r="A4" s="2">
        <v>45415</v>
      </c>
      <c r="B4" s="3">
        <v>0</v>
      </c>
      <c r="C4" s="3">
        <v>0</v>
      </c>
      <c r="D4" s="3">
        <v>0</v>
      </c>
      <c r="E4" s="3"/>
      <c r="F4" s="3">
        <f t="shared" si="0"/>
        <v>0</v>
      </c>
      <c r="G4" s="3"/>
      <c r="H4" s="3">
        <v>0</v>
      </c>
      <c r="I4" s="3">
        <f t="shared" si="1"/>
        <v>0</v>
      </c>
      <c r="K4" s="5" t="s">
        <v>15</v>
      </c>
    </row>
    <row r="5" spans="1:11" x14ac:dyDescent="0.3">
      <c r="A5" s="2">
        <v>45416</v>
      </c>
      <c r="B5" s="3">
        <v>0</v>
      </c>
      <c r="C5" s="3">
        <v>0</v>
      </c>
      <c r="D5" s="3">
        <v>581</v>
      </c>
      <c r="E5" s="3"/>
      <c r="F5" s="3">
        <f t="shared" si="0"/>
        <v>581</v>
      </c>
      <c r="G5" s="3"/>
      <c r="H5" s="3">
        <v>21.11</v>
      </c>
      <c r="I5" s="3">
        <f t="shared" si="1"/>
        <v>559.89</v>
      </c>
      <c r="K5" s="5" t="s">
        <v>12</v>
      </c>
    </row>
    <row r="6" spans="1:11" x14ac:dyDescent="0.3">
      <c r="A6" s="2">
        <v>45417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SUM(F2:F32)</f>
        <v>19408</v>
      </c>
    </row>
    <row r="7" spans="1:11" x14ac:dyDescent="0.3">
      <c r="A7" s="2">
        <v>45418</v>
      </c>
      <c r="B7" s="3">
        <v>0</v>
      </c>
      <c r="C7" s="3">
        <v>0</v>
      </c>
      <c r="D7" s="3">
        <v>492</v>
      </c>
      <c r="E7" s="3"/>
      <c r="F7" s="3">
        <f t="shared" si="0"/>
        <v>492</v>
      </c>
      <c r="G7" s="3"/>
      <c r="H7" s="3">
        <v>17.84</v>
      </c>
      <c r="I7" s="3">
        <f t="shared" si="1"/>
        <v>474.16</v>
      </c>
      <c r="K7" s="5" t="s">
        <v>9</v>
      </c>
    </row>
    <row r="8" spans="1:11" x14ac:dyDescent="0.3">
      <c r="A8" s="2">
        <v>45419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431.72</v>
      </c>
    </row>
    <row r="9" spans="1:11" x14ac:dyDescent="0.3">
      <c r="A9" s="2">
        <v>45420</v>
      </c>
      <c r="B9" s="3">
        <v>0</v>
      </c>
      <c r="C9" s="3">
        <v>0</v>
      </c>
      <c r="D9" s="3">
        <v>277</v>
      </c>
      <c r="E9" s="3"/>
      <c r="F9" s="3">
        <f t="shared" si="0"/>
        <v>277</v>
      </c>
      <c r="G9" s="3"/>
      <c r="H9" s="3">
        <v>8.66</v>
      </c>
      <c r="I9" s="3">
        <f t="shared" si="1"/>
        <v>268.33999999999997</v>
      </c>
      <c r="K9" s="5" t="s">
        <v>10</v>
      </c>
    </row>
    <row r="10" spans="1:11" x14ac:dyDescent="0.3">
      <c r="A10" s="2">
        <v>45421</v>
      </c>
      <c r="B10" s="3">
        <v>0</v>
      </c>
      <c r="C10" s="3">
        <v>0</v>
      </c>
      <c r="D10" s="3">
        <v>581</v>
      </c>
      <c r="E10" s="3"/>
      <c r="F10" s="3">
        <f t="shared" si="0"/>
        <v>581</v>
      </c>
      <c r="G10" s="3"/>
      <c r="H10" s="3">
        <v>21.11</v>
      </c>
      <c r="I10" s="3">
        <f t="shared" si="1"/>
        <v>559.89</v>
      </c>
      <c r="K10" s="3">
        <f>SUM(I:I)</f>
        <v>18976.28</v>
      </c>
    </row>
    <row r="11" spans="1:11" x14ac:dyDescent="0.3">
      <c r="A11" s="2">
        <v>45422</v>
      </c>
      <c r="B11" s="3">
        <v>0</v>
      </c>
      <c r="C11" s="3">
        <v>0</v>
      </c>
      <c r="D11" s="3">
        <v>281</v>
      </c>
      <c r="E11" s="3"/>
      <c r="F11" s="3">
        <f t="shared" si="0"/>
        <v>281</v>
      </c>
      <c r="G11" s="3"/>
      <c r="H11" s="3">
        <v>10.14</v>
      </c>
      <c r="I11" s="3">
        <f t="shared" si="1"/>
        <v>270.86</v>
      </c>
    </row>
    <row r="12" spans="1:11" x14ac:dyDescent="0.3">
      <c r="A12" s="2">
        <v>45423</v>
      </c>
      <c r="B12" s="3">
        <v>0</v>
      </c>
      <c r="C12" s="3">
        <v>0</v>
      </c>
      <c r="D12" s="3">
        <v>369</v>
      </c>
      <c r="E12" s="3"/>
      <c r="F12" s="3">
        <f t="shared" si="0"/>
        <v>369</v>
      </c>
      <c r="G12" s="3"/>
      <c r="H12" s="3">
        <v>12.22</v>
      </c>
      <c r="I12" s="3">
        <f t="shared" si="1"/>
        <v>356.78</v>
      </c>
    </row>
    <row r="13" spans="1:11" x14ac:dyDescent="0.3">
      <c r="A13" s="2">
        <v>45424</v>
      </c>
      <c r="B13" s="3">
        <v>0</v>
      </c>
      <c r="C13" s="3">
        <v>0</v>
      </c>
      <c r="D13" s="3">
        <v>124</v>
      </c>
      <c r="E13" s="3"/>
      <c r="F13" s="3">
        <f t="shared" si="0"/>
        <v>124</v>
      </c>
      <c r="G13" s="3"/>
      <c r="H13" s="3">
        <v>4.6500000000000004</v>
      </c>
      <c r="I13" s="3">
        <f t="shared" si="1"/>
        <v>119.35</v>
      </c>
    </row>
    <row r="14" spans="1:11" x14ac:dyDescent="0.3">
      <c r="A14" s="2">
        <v>45425</v>
      </c>
      <c r="B14" s="3">
        <v>0</v>
      </c>
      <c r="C14" s="3">
        <v>0</v>
      </c>
      <c r="D14" s="3">
        <v>670</v>
      </c>
      <c r="E14" s="3"/>
      <c r="F14" s="3">
        <f t="shared" si="0"/>
        <v>670</v>
      </c>
      <c r="G14" s="3"/>
      <c r="H14" s="3">
        <v>24.38</v>
      </c>
      <c r="I14" s="3">
        <f t="shared" si="1"/>
        <v>645.62</v>
      </c>
    </row>
    <row r="15" spans="1:11" x14ac:dyDescent="0.3">
      <c r="A15" s="2">
        <v>45426</v>
      </c>
      <c r="B15" s="3">
        <v>118</v>
      </c>
      <c r="C15" s="3">
        <v>0</v>
      </c>
      <c r="D15" s="3">
        <v>271</v>
      </c>
      <c r="E15" s="3"/>
      <c r="F15" s="3">
        <f t="shared" si="0"/>
        <v>389</v>
      </c>
      <c r="G15" s="3"/>
      <c r="H15" s="3">
        <v>9.36</v>
      </c>
      <c r="I15" s="3">
        <f t="shared" si="1"/>
        <v>379.64</v>
      </c>
    </row>
    <row r="16" spans="1:11" x14ac:dyDescent="0.3">
      <c r="A16" s="2">
        <v>45427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45428</v>
      </c>
      <c r="B17" s="3">
        <v>0</v>
      </c>
      <c r="C17" s="3">
        <v>0</v>
      </c>
      <c r="D17" s="3">
        <v>557</v>
      </c>
      <c r="E17" s="3"/>
      <c r="F17" s="3">
        <f t="shared" si="0"/>
        <v>557</v>
      </c>
      <c r="G17" s="3"/>
      <c r="H17" s="3">
        <v>17.21</v>
      </c>
      <c r="I17" s="3">
        <f t="shared" si="1"/>
        <v>539.79</v>
      </c>
    </row>
    <row r="18" spans="1:9" x14ac:dyDescent="0.3">
      <c r="A18" s="2">
        <v>45429</v>
      </c>
      <c r="B18" s="3">
        <v>0</v>
      </c>
      <c r="C18" s="3">
        <v>0</v>
      </c>
      <c r="D18" s="3">
        <v>335</v>
      </c>
      <c r="E18" s="3"/>
      <c r="F18" s="3">
        <f t="shared" si="0"/>
        <v>335</v>
      </c>
      <c r="G18" s="3"/>
      <c r="H18" s="3">
        <v>12.19</v>
      </c>
      <c r="I18" s="3">
        <f t="shared" si="1"/>
        <v>322.81</v>
      </c>
    </row>
    <row r="19" spans="1:9" x14ac:dyDescent="0.3">
      <c r="A19" s="2">
        <v>45430</v>
      </c>
      <c r="B19" s="3">
        <v>0</v>
      </c>
      <c r="C19" s="3">
        <v>0</v>
      </c>
      <c r="D19" s="3">
        <v>512</v>
      </c>
      <c r="E19" s="3"/>
      <c r="F19" s="3">
        <f t="shared" si="0"/>
        <v>512</v>
      </c>
      <c r="G19" s="3"/>
      <c r="H19" s="3">
        <v>16.510000000000002</v>
      </c>
      <c r="I19" s="3">
        <f t="shared" si="1"/>
        <v>495.49</v>
      </c>
    </row>
    <row r="20" spans="1:9" x14ac:dyDescent="0.3">
      <c r="A20" s="2">
        <v>45431</v>
      </c>
      <c r="B20" s="3">
        <v>0</v>
      </c>
      <c r="C20" s="3">
        <v>0</v>
      </c>
      <c r="D20" s="3">
        <v>246</v>
      </c>
      <c r="E20" s="3"/>
      <c r="F20" s="3">
        <f t="shared" si="0"/>
        <v>246</v>
      </c>
      <c r="G20" s="3"/>
      <c r="H20" s="3">
        <v>8.92</v>
      </c>
      <c r="I20" s="3">
        <f t="shared" si="1"/>
        <v>237.08</v>
      </c>
    </row>
    <row r="21" spans="1:9" x14ac:dyDescent="0.3">
      <c r="A21" s="2">
        <v>45432</v>
      </c>
      <c r="B21" s="3">
        <v>0</v>
      </c>
      <c r="C21" s="3">
        <v>0</v>
      </c>
      <c r="D21" s="3">
        <v>267</v>
      </c>
      <c r="E21" s="3"/>
      <c r="F21" s="3">
        <f t="shared" si="0"/>
        <v>267</v>
      </c>
      <c r="G21" s="3"/>
      <c r="H21" s="3">
        <v>9.81</v>
      </c>
      <c r="I21" s="3">
        <f t="shared" si="1"/>
        <v>257.19</v>
      </c>
    </row>
    <row r="22" spans="1:9" x14ac:dyDescent="0.3">
      <c r="A22" s="2">
        <v>45433</v>
      </c>
      <c r="B22" s="3">
        <v>0</v>
      </c>
      <c r="C22" s="3">
        <v>0</v>
      </c>
      <c r="D22" s="3">
        <v>364</v>
      </c>
      <c r="E22" s="3"/>
      <c r="F22" s="3">
        <f t="shared" si="0"/>
        <v>364</v>
      </c>
      <c r="G22" s="3"/>
      <c r="H22" s="3">
        <v>12.09</v>
      </c>
      <c r="I22" s="3">
        <f t="shared" si="1"/>
        <v>351.91</v>
      </c>
    </row>
    <row r="23" spans="1:9" x14ac:dyDescent="0.3">
      <c r="A23" s="2">
        <v>45434</v>
      </c>
      <c r="B23" s="3">
        <v>0</v>
      </c>
      <c r="C23" s="3">
        <v>0</v>
      </c>
      <c r="D23" s="3">
        <v>420</v>
      </c>
      <c r="E23" s="3"/>
      <c r="F23" s="3">
        <f t="shared" si="0"/>
        <v>420</v>
      </c>
      <c r="G23" s="3"/>
      <c r="H23" s="3">
        <v>13.5</v>
      </c>
      <c r="I23" s="3">
        <f t="shared" si="1"/>
        <v>406.5</v>
      </c>
    </row>
    <row r="24" spans="1:9" x14ac:dyDescent="0.3">
      <c r="A24" s="2">
        <v>45435</v>
      </c>
      <c r="B24" s="3">
        <v>0</v>
      </c>
      <c r="C24" s="3">
        <v>0</v>
      </c>
      <c r="D24" s="3">
        <v>517</v>
      </c>
      <c r="E24" s="3"/>
      <c r="F24" s="3">
        <f t="shared" si="0"/>
        <v>517</v>
      </c>
      <c r="G24" s="3"/>
      <c r="H24" s="3">
        <v>18.28</v>
      </c>
      <c r="I24" s="3">
        <f t="shared" si="1"/>
        <v>498.72</v>
      </c>
    </row>
    <row r="25" spans="1:9" x14ac:dyDescent="0.3">
      <c r="A25" s="2">
        <v>45436</v>
      </c>
      <c r="B25" s="3">
        <v>0</v>
      </c>
      <c r="C25" s="3">
        <v>0</v>
      </c>
      <c r="D25" s="3">
        <v>335</v>
      </c>
      <c r="E25" s="3"/>
      <c r="F25" s="3">
        <f t="shared" si="0"/>
        <v>335</v>
      </c>
      <c r="G25" s="3"/>
      <c r="H25" s="3">
        <v>12.19</v>
      </c>
      <c r="I25" s="3">
        <f t="shared" si="1"/>
        <v>322.81</v>
      </c>
    </row>
    <row r="26" spans="1:9" x14ac:dyDescent="0.3">
      <c r="A26" s="2">
        <v>45437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9" x14ac:dyDescent="0.3">
      <c r="A27" s="2">
        <v>45438</v>
      </c>
      <c r="B27" s="3">
        <v>0</v>
      </c>
      <c r="C27" s="3">
        <v>0</v>
      </c>
      <c r="D27" s="3">
        <v>738</v>
      </c>
      <c r="E27" s="3"/>
      <c r="F27" s="3">
        <f t="shared" si="0"/>
        <v>738</v>
      </c>
      <c r="G27" s="3"/>
      <c r="H27" s="3">
        <v>26.76</v>
      </c>
      <c r="I27" s="3">
        <f t="shared" si="1"/>
        <v>711.24</v>
      </c>
    </row>
    <row r="28" spans="1:9" x14ac:dyDescent="0.3">
      <c r="A28" s="2">
        <v>45439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8.92</v>
      </c>
      <c r="I28" s="3">
        <f t="shared" si="1"/>
        <v>237.08</v>
      </c>
    </row>
    <row r="29" spans="1:9" x14ac:dyDescent="0.3">
      <c r="A29" s="2">
        <v>45440</v>
      </c>
      <c r="B29" s="3">
        <v>0</v>
      </c>
      <c r="C29" s="3">
        <v>0</v>
      </c>
      <c r="D29" s="3">
        <v>1004</v>
      </c>
      <c r="E29" s="3"/>
      <c r="F29" s="3">
        <f t="shared" si="0"/>
        <v>1004</v>
      </c>
      <c r="G29" s="3"/>
      <c r="H29" s="3">
        <v>35.26</v>
      </c>
      <c r="I29" s="3">
        <f t="shared" si="1"/>
        <v>968.74</v>
      </c>
    </row>
    <row r="30" spans="1:9" x14ac:dyDescent="0.3">
      <c r="A30" s="2">
        <v>45441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9" x14ac:dyDescent="0.3">
      <c r="A31" s="2">
        <v>45442</v>
      </c>
      <c r="B31" s="3">
        <v>0</v>
      </c>
      <c r="C31" s="3">
        <v>6850</v>
      </c>
      <c r="D31" s="3">
        <v>681</v>
      </c>
      <c r="E31" s="3"/>
      <c r="F31" s="3">
        <f t="shared" si="0"/>
        <v>7531</v>
      </c>
      <c r="G31" s="3"/>
      <c r="H31" s="3">
        <v>23.6</v>
      </c>
      <c r="I31" s="3">
        <f t="shared" si="1"/>
        <v>7507.4</v>
      </c>
    </row>
    <row r="32" spans="1:9" x14ac:dyDescent="0.3">
      <c r="A32" s="2">
        <v>45443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9" workbookViewId="0">
      <selection activeCell="K32" sqref="K32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45444</v>
      </c>
      <c r="B2" s="3">
        <v>0</v>
      </c>
      <c r="C2" s="3">
        <v>0</v>
      </c>
      <c r="D2" s="3">
        <v>551</v>
      </c>
      <c r="E2" s="3"/>
      <c r="F2" s="3">
        <f>SUM(B2:D2)</f>
        <v>551</v>
      </c>
      <c r="G2" s="3"/>
      <c r="H2" s="3">
        <v>17.3</v>
      </c>
      <c r="I2" s="3">
        <f>F2-H2</f>
        <v>533.70000000000005</v>
      </c>
    </row>
    <row r="3" spans="1:11" x14ac:dyDescent="0.3">
      <c r="A3" s="2">
        <v>45445</v>
      </c>
      <c r="B3" s="3">
        <v>0</v>
      </c>
      <c r="C3" s="3">
        <v>0</v>
      </c>
      <c r="D3" s="3">
        <v>246</v>
      </c>
      <c r="E3" s="3"/>
      <c r="F3" s="3">
        <f t="shared" ref="F3:F31" si="0">SUM(B3:D3)</f>
        <v>246</v>
      </c>
      <c r="G3" s="3"/>
      <c r="H3" s="3">
        <v>8.92</v>
      </c>
      <c r="I3" s="3">
        <f t="shared" ref="I3:I31" si="1">F3-H3</f>
        <v>237.08</v>
      </c>
    </row>
    <row r="4" spans="1:11" x14ac:dyDescent="0.3">
      <c r="A4" s="2">
        <v>45446</v>
      </c>
      <c r="B4" s="3">
        <v>0</v>
      </c>
      <c r="C4" s="3">
        <v>0</v>
      </c>
      <c r="D4" s="3">
        <v>0</v>
      </c>
      <c r="E4" s="3"/>
      <c r="F4" s="3">
        <f t="shared" si="0"/>
        <v>0</v>
      </c>
      <c r="G4" s="3"/>
      <c r="H4" s="3">
        <v>0</v>
      </c>
      <c r="I4" s="3">
        <f t="shared" si="1"/>
        <v>0</v>
      </c>
      <c r="K4" s="5" t="s">
        <v>16</v>
      </c>
    </row>
    <row r="5" spans="1:11" x14ac:dyDescent="0.3">
      <c r="A5" s="2">
        <v>45447</v>
      </c>
      <c r="B5" s="3">
        <v>0</v>
      </c>
      <c r="C5" s="3">
        <v>0</v>
      </c>
      <c r="D5" s="3">
        <v>861</v>
      </c>
      <c r="E5" s="3"/>
      <c r="F5" s="3">
        <f t="shared" si="0"/>
        <v>861</v>
      </c>
      <c r="G5" s="3"/>
      <c r="H5" s="3">
        <v>29.05</v>
      </c>
      <c r="I5" s="3">
        <f t="shared" si="1"/>
        <v>831.95</v>
      </c>
      <c r="K5" s="5" t="s">
        <v>12</v>
      </c>
    </row>
    <row r="6" spans="1:11" x14ac:dyDescent="0.3">
      <c r="A6" s="2">
        <v>45448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SUM(F2:F31)</f>
        <v>12249</v>
      </c>
    </row>
    <row r="7" spans="1:11" x14ac:dyDescent="0.3">
      <c r="A7" s="2">
        <v>45449</v>
      </c>
      <c r="B7" s="3">
        <v>0</v>
      </c>
      <c r="C7" s="3">
        <v>0</v>
      </c>
      <c r="D7" s="3">
        <v>492</v>
      </c>
      <c r="E7" s="3"/>
      <c r="F7" s="3">
        <f t="shared" si="0"/>
        <v>492</v>
      </c>
      <c r="G7" s="3"/>
      <c r="H7" s="3">
        <v>17.84</v>
      </c>
      <c r="I7" s="3">
        <f t="shared" si="1"/>
        <v>474.16</v>
      </c>
      <c r="K7" s="5" t="s">
        <v>9</v>
      </c>
    </row>
    <row r="8" spans="1:11" x14ac:dyDescent="0.3">
      <c r="A8" s="2">
        <v>45450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426.01000000000005</v>
      </c>
    </row>
    <row r="9" spans="1:11" x14ac:dyDescent="0.3">
      <c r="A9" s="2">
        <v>45451</v>
      </c>
      <c r="B9" s="3">
        <v>0</v>
      </c>
      <c r="C9" s="3">
        <v>0</v>
      </c>
      <c r="D9" s="3">
        <v>729</v>
      </c>
      <c r="E9" s="3"/>
      <c r="F9" s="3">
        <f t="shared" si="0"/>
        <v>729</v>
      </c>
      <c r="G9" s="3"/>
      <c r="H9" s="3">
        <v>21.67</v>
      </c>
      <c r="I9" s="3">
        <f t="shared" si="1"/>
        <v>707.33</v>
      </c>
      <c r="K9" s="5" t="s">
        <v>10</v>
      </c>
    </row>
    <row r="10" spans="1:11" x14ac:dyDescent="0.3">
      <c r="A10" s="2">
        <v>45452</v>
      </c>
      <c r="B10" s="3">
        <v>0</v>
      </c>
      <c r="C10" s="3">
        <v>0</v>
      </c>
      <c r="D10" s="3">
        <v>581</v>
      </c>
      <c r="E10" s="3"/>
      <c r="F10" s="3">
        <f t="shared" si="0"/>
        <v>581</v>
      </c>
      <c r="G10" s="3"/>
      <c r="H10" s="3">
        <v>21.11</v>
      </c>
      <c r="I10" s="3">
        <f t="shared" si="1"/>
        <v>559.89</v>
      </c>
      <c r="K10" s="3">
        <f>SUM(I:I)</f>
        <v>11822.989999999998</v>
      </c>
    </row>
    <row r="11" spans="1:11" x14ac:dyDescent="0.3">
      <c r="A11" s="2">
        <v>45453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45454</v>
      </c>
      <c r="B12" s="3">
        <v>0</v>
      </c>
      <c r="C12" s="3">
        <v>0</v>
      </c>
      <c r="D12" s="3">
        <v>394</v>
      </c>
      <c r="E12" s="3"/>
      <c r="F12" s="3">
        <f t="shared" si="0"/>
        <v>394</v>
      </c>
      <c r="G12" s="3"/>
      <c r="H12" s="3">
        <v>12.96</v>
      </c>
      <c r="I12" s="3">
        <f t="shared" si="1"/>
        <v>381.04</v>
      </c>
    </row>
    <row r="13" spans="1:11" x14ac:dyDescent="0.3">
      <c r="A13" s="2">
        <v>45455</v>
      </c>
      <c r="B13" s="3">
        <v>0</v>
      </c>
      <c r="C13" s="3">
        <v>0</v>
      </c>
      <c r="D13" s="3">
        <v>93</v>
      </c>
      <c r="E13" s="3"/>
      <c r="F13" s="3">
        <f t="shared" si="0"/>
        <v>93</v>
      </c>
      <c r="G13" s="3"/>
      <c r="H13" s="3">
        <v>2.52</v>
      </c>
      <c r="I13" s="3">
        <f t="shared" si="1"/>
        <v>90.48</v>
      </c>
    </row>
    <row r="14" spans="1:11" x14ac:dyDescent="0.3">
      <c r="A14" s="2">
        <v>45456</v>
      </c>
      <c r="B14" s="3">
        <v>0</v>
      </c>
      <c r="C14" s="3">
        <v>0</v>
      </c>
      <c r="D14" s="3">
        <v>581</v>
      </c>
      <c r="E14" s="3"/>
      <c r="F14" s="3">
        <f t="shared" si="0"/>
        <v>581</v>
      </c>
      <c r="G14" s="3"/>
      <c r="H14" s="3">
        <v>21.26</v>
      </c>
      <c r="I14" s="3">
        <f t="shared" si="1"/>
        <v>559.74</v>
      </c>
    </row>
    <row r="15" spans="1:11" x14ac:dyDescent="0.3">
      <c r="A15" s="2">
        <v>45457</v>
      </c>
      <c r="B15" s="3">
        <v>0</v>
      </c>
      <c r="C15" s="3">
        <v>0</v>
      </c>
      <c r="D15" s="3">
        <v>212</v>
      </c>
      <c r="E15" s="3"/>
      <c r="F15" s="3">
        <f t="shared" si="0"/>
        <v>212</v>
      </c>
      <c r="G15" s="3"/>
      <c r="H15" s="3">
        <v>7.73</v>
      </c>
      <c r="I15" s="3">
        <f t="shared" si="1"/>
        <v>204.27</v>
      </c>
    </row>
    <row r="16" spans="1:11" x14ac:dyDescent="0.3">
      <c r="A16" s="2">
        <v>45458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45459</v>
      </c>
      <c r="B17" s="3">
        <v>0</v>
      </c>
      <c r="C17" s="3">
        <v>0</v>
      </c>
      <c r="D17" s="3">
        <v>369</v>
      </c>
      <c r="E17" s="3"/>
      <c r="F17" s="3">
        <f t="shared" si="0"/>
        <v>369</v>
      </c>
      <c r="G17" s="3"/>
      <c r="H17" s="3">
        <v>13.38</v>
      </c>
      <c r="I17" s="3">
        <f t="shared" si="1"/>
        <v>355.62</v>
      </c>
    </row>
    <row r="18" spans="1:9" x14ac:dyDescent="0.3">
      <c r="A18" s="2">
        <v>45460</v>
      </c>
      <c r="B18" s="3">
        <v>0</v>
      </c>
      <c r="C18" s="3">
        <v>0</v>
      </c>
      <c r="D18" s="3">
        <v>335</v>
      </c>
      <c r="E18" s="3"/>
      <c r="F18" s="3">
        <f t="shared" si="0"/>
        <v>335</v>
      </c>
      <c r="G18" s="3"/>
      <c r="H18" s="3">
        <v>12.19</v>
      </c>
      <c r="I18" s="3">
        <f t="shared" si="1"/>
        <v>322.81</v>
      </c>
    </row>
    <row r="19" spans="1:9" x14ac:dyDescent="0.3">
      <c r="A19" s="2">
        <v>45461</v>
      </c>
      <c r="B19" s="3">
        <v>0</v>
      </c>
      <c r="C19" s="3">
        <v>0</v>
      </c>
      <c r="D19" s="3">
        <v>418</v>
      </c>
      <c r="E19" s="3"/>
      <c r="F19" s="3">
        <f t="shared" si="0"/>
        <v>418</v>
      </c>
      <c r="G19" s="3"/>
      <c r="H19" s="3">
        <v>15.09</v>
      </c>
      <c r="I19" s="3">
        <f t="shared" si="1"/>
        <v>402.91</v>
      </c>
    </row>
    <row r="20" spans="1:9" x14ac:dyDescent="0.3">
      <c r="A20" s="2">
        <v>45462</v>
      </c>
      <c r="B20" s="3">
        <v>0</v>
      </c>
      <c r="C20" s="3">
        <v>0</v>
      </c>
      <c r="D20" s="3">
        <v>335</v>
      </c>
      <c r="E20" s="3"/>
      <c r="F20" s="3">
        <f t="shared" si="0"/>
        <v>335</v>
      </c>
      <c r="G20" s="3"/>
      <c r="H20" s="3">
        <v>11.33</v>
      </c>
      <c r="I20" s="3">
        <f t="shared" si="1"/>
        <v>323.67</v>
      </c>
    </row>
    <row r="21" spans="1:9" x14ac:dyDescent="0.3">
      <c r="A21" s="2">
        <v>45463</v>
      </c>
      <c r="B21" s="3">
        <v>0</v>
      </c>
      <c r="C21" s="3">
        <v>0</v>
      </c>
      <c r="D21" s="3">
        <v>267</v>
      </c>
      <c r="E21" s="3"/>
      <c r="F21" s="3">
        <f t="shared" si="0"/>
        <v>267</v>
      </c>
      <c r="G21" s="3"/>
      <c r="H21" s="3">
        <v>8.9499999999999993</v>
      </c>
      <c r="I21" s="3">
        <f t="shared" si="1"/>
        <v>258.05</v>
      </c>
    </row>
    <row r="22" spans="1:9" x14ac:dyDescent="0.3">
      <c r="A22" s="2">
        <v>45464</v>
      </c>
      <c r="B22" s="3">
        <v>0</v>
      </c>
      <c r="C22" s="3">
        <v>0</v>
      </c>
      <c r="D22" s="3">
        <v>370</v>
      </c>
      <c r="E22" s="3"/>
      <c r="F22" s="3">
        <f t="shared" si="0"/>
        <v>370</v>
      </c>
      <c r="G22" s="3"/>
      <c r="H22" s="3">
        <v>13.41</v>
      </c>
      <c r="I22" s="3">
        <f t="shared" si="1"/>
        <v>356.59</v>
      </c>
    </row>
    <row r="23" spans="1:9" x14ac:dyDescent="0.3">
      <c r="A23" s="2">
        <v>45465</v>
      </c>
      <c r="B23" s="3">
        <v>0</v>
      </c>
      <c r="C23" s="3">
        <v>0</v>
      </c>
      <c r="D23" s="3">
        <v>360</v>
      </c>
      <c r="E23" s="3"/>
      <c r="F23" s="3">
        <f t="shared" si="0"/>
        <v>360</v>
      </c>
      <c r="G23" s="3"/>
      <c r="H23" s="3">
        <v>12.33</v>
      </c>
      <c r="I23" s="3">
        <f t="shared" si="1"/>
        <v>347.67</v>
      </c>
    </row>
    <row r="24" spans="1:9" x14ac:dyDescent="0.3">
      <c r="A24" s="2">
        <v>45466</v>
      </c>
      <c r="B24" s="3">
        <v>0</v>
      </c>
      <c r="C24" s="3">
        <v>0</v>
      </c>
      <c r="D24" s="3">
        <v>212</v>
      </c>
      <c r="E24" s="3"/>
      <c r="F24" s="3">
        <f t="shared" si="0"/>
        <v>212</v>
      </c>
      <c r="G24" s="3"/>
      <c r="H24" s="3">
        <v>7.73</v>
      </c>
      <c r="I24" s="3">
        <f t="shared" si="1"/>
        <v>204.27</v>
      </c>
    </row>
    <row r="25" spans="1:9" x14ac:dyDescent="0.3">
      <c r="A25" s="2">
        <v>45467</v>
      </c>
      <c r="B25" s="3">
        <v>0</v>
      </c>
      <c r="C25" s="3">
        <v>0</v>
      </c>
      <c r="D25" s="3">
        <v>493</v>
      </c>
      <c r="E25" s="3"/>
      <c r="F25" s="3">
        <f t="shared" si="0"/>
        <v>493</v>
      </c>
      <c r="G25" s="3"/>
      <c r="H25" s="3">
        <v>17.87</v>
      </c>
      <c r="I25" s="3">
        <f t="shared" si="1"/>
        <v>475.13</v>
      </c>
    </row>
    <row r="26" spans="1:9" x14ac:dyDescent="0.3">
      <c r="A26" s="2">
        <v>45468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9" x14ac:dyDescent="0.3">
      <c r="A27" s="2">
        <v>45469</v>
      </c>
      <c r="B27" s="3">
        <v>0</v>
      </c>
      <c r="C27" s="3">
        <v>0</v>
      </c>
      <c r="D27" s="3">
        <v>1012</v>
      </c>
      <c r="E27" s="3"/>
      <c r="F27" s="3">
        <f t="shared" si="0"/>
        <v>1012</v>
      </c>
      <c r="G27" s="3"/>
      <c r="H27" s="3">
        <v>33.380000000000003</v>
      </c>
      <c r="I27" s="3">
        <f t="shared" si="1"/>
        <v>978.62</v>
      </c>
    </row>
    <row r="28" spans="1:9" x14ac:dyDescent="0.3">
      <c r="A28" s="2">
        <v>45470</v>
      </c>
      <c r="B28" s="3">
        <v>0</v>
      </c>
      <c r="C28" s="3">
        <v>0</v>
      </c>
      <c r="D28" s="3">
        <v>556</v>
      </c>
      <c r="E28" s="4"/>
      <c r="F28" s="3">
        <f t="shared" si="0"/>
        <v>556</v>
      </c>
      <c r="G28" s="3"/>
      <c r="H28" s="3">
        <v>18.75</v>
      </c>
      <c r="I28" s="3">
        <f t="shared" si="1"/>
        <v>537.25</v>
      </c>
    </row>
    <row r="29" spans="1:9" x14ac:dyDescent="0.3">
      <c r="A29" s="2">
        <v>45471</v>
      </c>
      <c r="B29" s="3">
        <v>0</v>
      </c>
      <c r="C29" s="3">
        <v>0</v>
      </c>
      <c r="D29" s="3">
        <v>581</v>
      </c>
      <c r="E29" s="3"/>
      <c r="F29" s="3">
        <f t="shared" si="0"/>
        <v>581</v>
      </c>
      <c r="G29" s="3"/>
      <c r="H29" s="3">
        <v>21.11</v>
      </c>
      <c r="I29" s="3">
        <f t="shared" si="1"/>
        <v>559.89</v>
      </c>
    </row>
    <row r="30" spans="1:9" x14ac:dyDescent="0.3">
      <c r="A30" s="2">
        <v>45472</v>
      </c>
      <c r="B30" s="3">
        <v>0</v>
      </c>
      <c r="C30" s="3">
        <v>0</v>
      </c>
      <c r="D30" s="3">
        <v>280</v>
      </c>
      <c r="E30" s="3"/>
      <c r="F30" s="3">
        <f t="shared" si="0"/>
        <v>280</v>
      </c>
      <c r="G30" s="3"/>
      <c r="H30" s="3">
        <v>10.26</v>
      </c>
      <c r="I30" s="3">
        <f t="shared" si="1"/>
        <v>269.74</v>
      </c>
    </row>
    <row r="31" spans="1:9" x14ac:dyDescent="0.3">
      <c r="A31" s="2">
        <v>45473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F30" sqref="F30"/>
    </sheetView>
  </sheetViews>
  <sheetFormatPr defaultRowHeight="14.4" x14ac:dyDescent="0.3"/>
  <cols>
    <col min="1" max="1" width="10" customWidth="1"/>
    <col min="4" max="4" width="11.88671875" customWidth="1"/>
    <col min="5" max="5" width="11.4414062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45474</v>
      </c>
      <c r="B2" s="3">
        <v>0</v>
      </c>
      <c r="C2" s="3">
        <v>0</v>
      </c>
      <c r="D2" s="3">
        <v>458</v>
      </c>
      <c r="E2" s="3"/>
      <c r="F2" s="3">
        <f>SUM(B2:D2)</f>
        <v>458</v>
      </c>
      <c r="G2" s="3"/>
      <c r="H2" s="3">
        <v>16.649999999999999</v>
      </c>
      <c r="I2" s="3">
        <f>F2-H2</f>
        <v>441.35</v>
      </c>
    </row>
    <row r="3" spans="1:11" x14ac:dyDescent="0.3">
      <c r="A3" s="2">
        <v>45475</v>
      </c>
      <c r="B3" s="3">
        <v>0</v>
      </c>
      <c r="C3" s="3">
        <v>0</v>
      </c>
      <c r="D3" s="3">
        <v>465.5</v>
      </c>
      <c r="E3" s="3"/>
      <c r="F3" s="3">
        <f t="shared" ref="F3:F32" si="0">SUM(B3:D3)</f>
        <v>465.5</v>
      </c>
      <c r="G3" s="3"/>
      <c r="H3" s="3">
        <v>15.31</v>
      </c>
      <c r="I3" s="3">
        <f t="shared" ref="I3:I32" si="1">F3-H3</f>
        <v>450.19</v>
      </c>
    </row>
    <row r="4" spans="1:11" x14ac:dyDescent="0.3">
      <c r="A4" s="2">
        <v>45476</v>
      </c>
      <c r="B4" s="3">
        <v>0</v>
      </c>
      <c r="C4" s="3">
        <v>0</v>
      </c>
      <c r="D4" s="3">
        <v>0</v>
      </c>
      <c r="E4" s="3"/>
      <c r="F4" s="3">
        <f t="shared" si="0"/>
        <v>0</v>
      </c>
      <c r="G4" s="3"/>
      <c r="H4" s="3">
        <v>0</v>
      </c>
      <c r="I4" s="3">
        <f t="shared" si="1"/>
        <v>0</v>
      </c>
      <c r="K4" s="5" t="s">
        <v>17</v>
      </c>
    </row>
    <row r="5" spans="1:11" x14ac:dyDescent="0.3">
      <c r="A5" s="2">
        <v>45477</v>
      </c>
      <c r="B5" s="3">
        <v>0</v>
      </c>
      <c r="C5" s="3">
        <v>0</v>
      </c>
      <c r="D5" s="3">
        <v>827</v>
      </c>
      <c r="E5" s="3"/>
      <c r="F5" s="3">
        <f t="shared" si="0"/>
        <v>827</v>
      </c>
      <c r="G5" s="3"/>
      <c r="H5" s="3">
        <v>30.03</v>
      </c>
      <c r="I5" s="3">
        <f t="shared" si="1"/>
        <v>796.97</v>
      </c>
      <c r="K5" s="5" t="s">
        <v>12</v>
      </c>
    </row>
    <row r="6" spans="1:11" x14ac:dyDescent="0.3">
      <c r="A6" s="2">
        <v>45478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SUM(F2:F32)</f>
        <v>12131.5</v>
      </c>
    </row>
    <row r="7" spans="1:11" x14ac:dyDescent="0.3">
      <c r="A7" s="2">
        <v>45479</v>
      </c>
      <c r="B7" s="3">
        <v>0</v>
      </c>
      <c r="C7" s="3">
        <v>0</v>
      </c>
      <c r="D7" s="3">
        <v>492</v>
      </c>
      <c r="E7" s="3"/>
      <c r="F7" s="3">
        <f t="shared" si="0"/>
        <v>492</v>
      </c>
      <c r="G7" s="3"/>
      <c r="H7" s="3">
        <v>17.84</v>
      </c>
      <c r="I7" s="3">
        <f t="shared" si="1"/>
        <v>474.16</v>
      </c>
      <c r="K7" s="5" t="s">
        <v>9</v>
      </c>
    </row>
    <row r="8" spans="1:11" x14ac:dyDescent="0.3">
      <c r="A8" s="2">
        <v>45480</v>
      </c>
      <c r="B8" s="3">
        <v>0</v>
      </c>
      <c r="C8" s="3">
        <v>0</v>
      </c>
      <c r="D8" s="3">
        <v>89</v>
      </c>
      <c r="E8" s="3"/>
      <c r="F8" s="3">
        <f t="shared" si="0"/>
        <v>89</v>
      </c>
      <c r="G8" s="3"/>
      <c r="H8" s="3">
        <v>3.27</v>
      </c>
      <c r="I8" s="3">
        <f t="shared" si="1"/>
        <v>85.73</v>
      </c>
      <c r="K8" s="3">
        <f>SUM(H:H)</f>
        <v>421.68</v>
      </c>
    </row>
    <row r="9" spans="1:11" x14ac:dyDescent="0.3">
      <c r="A9" s="2">
        <v>45481</v>
      </c>
      <c r="B9" s="3">
        <v>0</v>
      </c>
      <c r="C9" s="3">
        <v>0</v>
      </c>
      <c r="D9" s="3">
        <v>547</v>
      </c>
      <c r="E9" s="3" t="s">
        <v>24</v>
      </c>
      <c r="F9" s="3">
        <v>725</v>
      </c>
      <c r="G9" s="3"/>
      <c r="H9" s="3">
        <v>19.920000000000002</v>
      </c>
      <c r="I9" s="3">
        <f t="shared" si="1"/>
        <v>705.08</v>
      </c>
      <c r="K9" s="5" t="s">
        <v>10</v>
      </c>
    </row>
    <row r="10" spans="1:11" x14ac:dyDescent="0.3">
      <c r="A10" s="2">
        <v>45482</v>
      </c>
      <c r="B10" s="3">
        <v>0</v>
      </c>
      <c r="C10" s="3">
        <v>0</v>
      </c>
      <c r="D10" s="3">
        <v>581</v>
      </c>
      <c r="E10" s="3"/>
      <c r="F10" s="3">
        <v>581</v>
      </c>
      <c r="G10" s="3"/>
      <c r="H10" s="3">
        <v>21.11</v>
      </c>
      <c r="I10" s="3">
        <f t="shared" si="1"/>
        <v>559.89</v>
      </c>
      <c r="K10" s="3">
        <f>SUM(I:I)</f>
        <v>11709.82</v>
      </c>
    </row>
    <row r="11" spans="1:11" x14ac:dyDescent="0.3">
      <c r="A11" s="2">
        <v>45483</v>
      </c>
      <c r="B11" s="3">
        <v>0</v>
      </c>
      <c r="C11" s="3">
        <v>0</v>
      </c>
      <c r="D11" s="3">
        <v>127</v>
      </c>
      <c r="E11" s="3"/>
      <c r="F11" s="3">
        <f t="shared" si="0"/>
        <v>127</v>
      </c>
      <c r="G11" s="3"/>
      <c r="H11" s="3">
        <v>3.5</v>
      </c>
      <c r="I11" s="3">
        <f t="shared" si="1"/>
        <v>123.5</v>
      </c>
    </row>
    <row r="12" spans="1:11" x14ac:dyDescent="0.3">
      <c r="A12" s="2">
        <v>45484</v>
      </c>
      <c r="B12" s="3">
        <v>0</v>
      </c>
      <c r="C12" s="3">
        <v>0</v>
      </c>
      <c r="D12" s="3">
        <v>212</v>
      </c>
      <c r="E12" s="3"/>
      <c r="F12" s="3">
        <f t="shared" si="0"/>
        <v>212</v>
      </c>
      <c r="G12" s="3"/>
      <c r="H12" s="3">
        <v>7.73</v>
      </c>
      <c r="I12" s="3">
        <f t="shared" si="1"/>
        <v>204.27</v>
      </c>
    </row>
    <row r="13" spans="1:11" x14ac:dyDescent="0.3">
      <c r="A13" s="2">
        <v>45485</v>
      </c>
      <c r="B13" s="3">
        <v>0</v>
      </c>
      <c r="C13" s="3">
        <v>0</v>
      </c>
      <c r="D13" s="3">
        <v>0</v>
      </c>
      <c r="E13" s="3"/>
      <c r="F13" s="3">
        <f t="shared" si="0"/>
        <v>0</v>
      </c>
      <c r="G13" s="3"/>
      <c r="H13" s="3">
        <v>0</v>
      </c>
      <c r="I13" s="3">
        <f t="shared" si="1"/>
        <v>0</v>
      </c>
    </row>
    <row r="14" spans="1:11" x14ac:dyDescent="0.3">
      <c r="A14" s="2">
        <v>45486</v>
      </c>
      <c r="B14" s="3">
        <v>0</v>
      </c>
      <c r="C14" s="3">
        <v>0</v>
      </c>
      <c r="D14" s="3">
        <v>759</v>
      </c>
      <c r="E14" s="3"/>
      <c r="F14" s="3">
        <f t="shared" si="0"/>
        <v>759</v>
      </c>
      <c r="G14" s="3"/>
      <c r="H14" s="3">
        <v>26.49</v>
      </c>
      <c r="I14" s="3">
        <f t="shared" si="1"/>
        <v>732.51</v>
      </c>
    </row>
    <row r="15" spans="1:11" x14ac:dyDescent="0.3">
      <c r="A15" s="2">
        <v>45487</v>
      </c>
      <c r="B15" s="3">
        <v>0</v>
      </c>
      <c r="C15" s="3">
        <v>0</v>
      </c>
      <c r="D15" s="3">
        <v>212</v>
      </c>
      <c r="E15" s="3"/>
      <c r="F15" s="3">
        <f t="shared" si="0"/>
        <v>212</v>
      </c>
      <c r="G15" s="3"/>
      <c r="H15" s="3">
        <v>7.73</v>
      </c>
      <c r="I15" s="3">
        <f t="shared" si="1"/>
        <v>204.27</v>
      </c>
    </row>
    <row r="16" spans="1:11" x14ac:dyDescent="0.3">
      <c r="A16" s="2">
        <v>45488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45489</v>
      </c>
      <c r="B17" s="3">
        <v>100</v>
      </c>
      <c r="C17" s="3">
        <v>0</v>
      </c>
      <c r="D17" s="3">
        <v>441</v>
      </c>
      <c r="E17" s="3"/>
      <c r="F17" s="3">
        <f t="shared" si="0"/>
        <v>541</v>
      </c>
      <c r="G17" s="3"/>
      <c r="H17" s="3">
        <v>14.29</v>
      </c>
      <c r="I17" s="3">
        <f t="shared" si="1"/>
        <v>526.71</v>
      </c>
    </row>
    <row r="18" spans="1:9" x14ac:dyDescent="0.3">
      <c r="A18" s="2">
        <v>45490</v>
      </c>
      <c r="B18" s="3">
        <v>0</v>
      </c>
      <c r="C18" s="3">
        <v>0</v>
      </c>
      <c r="D18" s="3">
        <v>492</v>
      </c>
      <c r="E18" s="3"/>
      <c r="F18" s="3">
        <f t="shared" si="0"/>
        <v>492</v>
      </c>
      <c r="G18" s="3"/>
      <c r="H18" s="3">
        <v>17.989999999999998</v>
      </c>
      <c r="I18" s="3">
        <f t="shared" si="1"/>
        <v>474.01</v>
      </c>
    </row>
    <row r="19" spans="1:9" x14ac:dyDescent="0.3">
      <c r="A19" s="2">
        <v>45491</v>
      </c>
      <c r="B19" s="3">
        <v>0</v>
      </c>
      <c r="C19" s="3">
        <v>0</v>
      </c>
      <c r="D19" s="3">
        <v>378</v>
      </c>
      <c r="E19" s="3"/>
      <c r="F19" s="3">
        <f t="shared" si="0"/>
        <v>378</v>
      </c>
      <c r="G19" s="3"/>
      <c r="H19" s="3">
        <v>13.69</v>
      </c>
      <c r="I19" s="3">
        <f t="shared" si="1"/>
        <v>364.31</v>
      </c>
    </row>
    <row r="20" spans="1:9" x14ac:dyDescent="0.3">
      <c r="A20" s="2">
        <v>45492</v>
      </c>
      <c r="B20" s="3">
        <v>0</v>
      </c>
      <c r="C20" s="3">
        <v>0</v>
      </c>
      <c r="D20" s="3">
        <v>335</v>
      </c>
      <c r="E20" s="3"/>
      <c r="F20" s="3">
        <f t="shared" si="0"/>
        <v>335</v>
      </c>
      <c r="G20" s="3"/>
      <c r="H20" s="3">
        <v>12.19</v>
      </c>
      <c r="I20" s="3">
        <f t="shared" si="1"/>
        <v>322.81</v>
      </c>
    </row>
    <row r="21" spans="1:9" x14ac:dyDescent="0.3">
      <c r="A21" s="2">
        <v>45493</v>
      </c>
      <c r="B21" s="3">
        <v>0</v>
      </c>
      <c r="C21" s="3">
        <v>0</v>
      </c>
      <c r="D21" s="3">
        <v>668</v>
      </c>
      <c r="E21" s="3"/>
      <c r="F21" s="3">
        <f t="shared" si="0"/>
        <v>668</v>
      </c>
      <c r="G21" s="3"/>
      <c r="H21" s="3">
        <v>22.56</v>
      </c>
      <c r="I21" s="3">
        <f t="shared" si="1"/>
        <v>645.44000000000005</v>
      </c>
    </row>
    <row r="22" spans="1:9" x14ac:dyDescent="0.3">
      <c r="A22" s="2">
        <v>45494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9" x14ac:dyDescent="0.3">
      <c r="A23" s="2">
        <v>45495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45496</v>
      </c>
      <c r="B24" s="3">
        <v>0</v>
      </c>
      <c r="C24" s="3">
        <v>0</v>
      </c>
      <c r="D24" s="3">
        <v>428</v>
      </c>
      <c r="E24" s="3"/>
      <c r="F24" s="3">
        <f t="shared" si="0"/>
        <v>428</v>
      </c>
      <c r="G24" s="3"/>
      <c r="H24" s="3">
        <v>15.31</v>
      </c>
      <c r="I24" s="3">
        <f t="shared" si="1"/>
        <v>412.69</v>
      </c>
    </row>
    <row r="25" spans="1:9" x14ac:dyDescent="0.3">
      <c r="A25" s="2">
        <v>45497</v>
      </c>
      <c r="B25" s="3">
        <v>0</v>
      </c>
      <c r="C25" s="3">
        <v>0</v>
      </c>
      <c r="D25" s="3">
        <v>335</v>
      </c>
      <c r="E25" s="3"/>
      <c r="F25" s="3">
        <f t="shared" si="0"/>
        <v>335</v>
      </c>
      <c r="G25" s="3"/>
      <c r="H25" s="3">
        <v>12.19</v>
      </c>
      <c r="I25" s="3">
        <f t="shared" si="1"/>
        <v>322.81</v>
      </c>
    </row>
    <row r="26" spans="1:9" x14ac:dyDescent="0.3">
      <c r="A26" s="2">
        <v>45498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9" x14ac:dyDescent="0.3">
      <c r="A27" s="2">
        <v>45499</v>
      </c>
      <c r="B27" s="3">
        <v>0</v>
      </c>
      <c r="C27" s="3">
        <v>0</v>
      </c>
      <c r="D27" s="3">
        <v>738</v>
      </c>
      <c r="E27" s="3"/>
      <c r="F27" s="3">
        <f t="shared" si="0"/>
        <v>738</v>
      </c>
      <c r="G27" s="3"/>
      <c r="H27" s="3">
        <v>26.76</v>
      </c>
      <c r="I27" s="3">
        <f t="shared" si="1"/>
        <v>711.24</v>
      </c>
    </row>
    <row r="28" spans="1:9" x14ac:dyDescent="0.3">
      <c r="A28" s="2">
        <v>45500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8.92</v>
      </c>
      <c r="I28" s="3">
        <f t="shared" si="1"/>
        <v>237.08</v>
      </c>
    </row>
    <row r="29" spans="1:9" x14ac:dyDescent="0.3">
      <c r="A29" s="2">
        <v>45501</v>
      </c>
      <c r="B29" s="3">
        <v>0</v>
      </c>
      <c r="C29" s="3">
        <v>0</v>
      </c>
      <c r="D29" s="3">
        <v>458</v>
      </c>
      <c r="E29" s="3"/>
      <c r="F29" s="3">
        <f t="shared" si="0"/>
        <v>458</v>
      </c>
      <c r="G29" s="3"/>
      <c r="H29" s="3">
        <v>16.649999999999999</v>
      </c>
      <c r="I29" s="3">
        <f t="shared" si="1"/>
        <v>441.35</v>
      </c>
    </row>
    <row r="30" spans="1:9" x14ac:dyDescent="0.3">
      <c r="A30" s="2">
        <v>45502</v>
      </c>
      <c r="B30" s="3">
        <v>0</v>
      </c>
      <c r="C30" s="3">
        <v>0</v>
      </c>
      <c r="D30" s="3">
        <v>246</v>
      </c>
      <c r="E30" s="3"/>
      <c r="F30" s="3">
        <f t="shared" si="0"/>
        <v>246</v>
      </c>
      <c r="G30" s="3"/>
      <c r="H30" s="3">
        <v>8.92</v>
      </c>
      <c r="I30" s="3">
        <f t="shared" si="1"/>
        <v>237.08</v>
      </c>
    </row>
    <row r="31" spans="1:9" x14ac:dyDescent="0.3">
      <c r="A31" s="2">
        <v>45503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  <row r="32" spans="1:9" x14ac:dyDescent="0.3">
      <c r="A32" s="2">
        <v>45504</v>
      </c>
      <c r="B32" s="3">
        <v>0</v>
      </c>
      <c r="C32" s="3">
        <v>0</v>
      </c>
      <c r="D32" s="3">
        <v>186</v>
      </c>
      <c r="E32" s="1"/>
      <c r="F32" s="3">
        <f t="shared" si="0"/>
        <v>186</v>
      </c>
      <c r="G32" s="3"/>
      <c r="H32" s="3">
        <v>5.03</v>
      </c>
      <c r="I32" s="3">
        <f t="shared" si="1"/>
        <v>180.97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L21" sqref="L21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45505</v>
      </c>
      <c r="B2" s="3">
        <v>0</v>
      </c>
      <c r="C2" s="3">
        <v>0</v>
      </c>
      <c r="D2" s="3">
        <v>1113</v>
      </c>
      <c r="E2" s="3"/>
      <c r="F2" s="3">
        <f>SUM(B2:D2)</f>
        <v>1113</v>
      </c>
      <c r="G2" s="3"/>
      <c r="H2" s="3">
        <v>37.43</v>
      </c>
      <c r="I2" s="3">
        <f>F2-H2</f>
        <v>1075.57</v>
      </c>
    </row>
    <row r="3" spans="1:11" x14ac:dyDescent="0.3">
      <c r="A3" s="2">
        <v>45506</v>
      </c>
      <c r="B3" s="3">
        <v>0</v>
      </c>
      <c r="C3" s="3">
        <v>0</v>
      </c>
      <c r="D3" s="3">
        <v>369</v>
      </c>
      <c r="E3" s="3"/>
      <c r="F3" s="3">
        <f t="shared" ref="F3:F32" si="0">SUM(B3:D3)</f>
        <v>369</v>
      </c>
      <c r="G3" s="3"/>
      <c r="H3" s="3">
        <v>13.38</v>
      </c>
      <c r="I3" s="3">
        <f t="shared" ref="I3:I32" si="1">F3-H3</f>
        <v>355.62</v>
      </c>
    </row>
    <row r="4" spans="1:11" x14ac:dyDescent="0.3">
      <c r="A4" s="2">
        <v>45507</v>
      </c>
      <c r="B4" s="3">
        <v>0</v>
      </c>
      <c r="C4" s="3">
        <v>0</v>
      </c>
      <c r="D4" s="3">
        <v>123</v>
      </c>
      <c r="E4" s="3"/>
      <c r="F4" s="3">
        <f t="shared" si="0"/>
        <v>123</v>
      </c>
      <c r="G4" s="3"/>
      <c r="H4" s="3">
        <v>3.3</v>
      </c>
      <c r="I4" s="3">
        <f t="shared" si="1"/>
        <v>119.7</v>
      </c>
      <c r="K4" s="5" t="s">
        <v>18</v>
      </c>
    </row>
    <row r="5" spans="1:11" x14ac:dyDescent="0.3">
      <c r="A5" s="2">
        <v>45508</v>
      </c>
      <c r="B5" s="3">
        <v>0</v>
      </c>
      <c r="C5" s="3">
        <v>0</v>
      </c>
      <c r="D5" s="3">
        <v>738</v>
      </c>
      <c r="E5" s="3"/>
      <c r="F5" s="3">
        <f t="shared" si="0"/>
        <v>738</v>
      </c>
      <c r="G5" s="3"/>
      <c r="H5" s="3">
        <v>26.91</v>
      </c>
      <c r="I5" s="3">
        <f t="shared" si="1"/>
        <v>711.09</v>
      </c>
      <c r="K5" s="5" t="s">
        <v>12</v>
      </c>
    </row>
    <row r="6" spans="1:11" x14ac:dyDescent="0.3">
      <c r="A6" s="2">
        <v>45509</v>
      </c>
      <c r="B6" s="3">
        <v>0</v>
      </c>
      <c r="C6" s="3">
        <v>0</v>
      </c>
      <c r="D6" s="3">
        <v>738</v>
      </c>
      <c r="E6" s="3"/>
      <c r="F6" s="3">
        <f t="shared" si="0"/>
        <v>738</v>
      </c>
      <c r="G6" s="3"/>
      <c r="H6" s="3">
        <v>26.76</v>
      </c>
      <c r="I6" s="3">
        <f t="shared" si="1"/>
        <v>711.24</v>
      </c>
      <c r="K6" s="3">
        <f>SUM(F2:F32)</f>
        <v>19318</v>
      </c>
    </row>
    <row r="7" spans="1:11" x14ac:dyDescent="0.3">
      <c r="A7" s="2">
        <v>45510</v>
      </c>
      <c r="B7" s="3">
        <v>0</v>
      </c>
      <c r="C7" s="3">
        <v>0</v>
      </c>
      <c r="D7" s="3">
        <v>369</v>
      </c>
      <c r="E7" s="3"/>
      <c r="F7" s="3">
        <f t="shared" si="0"/>
        <v>369</v>
      </c>
      <c r="G7" s="3"/>
      <c r="H7" s="3">
        <v>13.38</v>
      </c>
      <c r="I7" s="3">
        <f t="shared" si="1"/>
        <v>355.62</v>
      </c>
      <c r="K7" s="5" t="s">
        <v>9</v>
      </c>
    </row>
    <row r="8" spans="1:11" x14ac:dyDescent="0.3">
      <c r="A8" s="2">
        <v>45511</v>
      </c>
      <c r="B8" s="3">
        <v>0</v>
      </c>
      <c r="C8" s="3">
        <v>0</v>
      </c>
      <c r="D8" s="3">
        <v>237</v>
      </c>
      <c r="E8" s="3"/>
      <c r="F8" s="3">
        <f t="shared" si="0"/>
        <v>237</v>
      </c>
      <c r="G8" s="3"/>
      <c r="H8" s="3">
        <v>7.9</v>
      </c>
      <c r="I8" s="3">
        <f t="shared" si="1"/>
        <v>229.1</v>
      </c>
      <c r="K8" s="3">
        <f>SUM(H:H)</f>
        <v>582.82000000000016</v>
      </c>
    </row>
    <row r="9" spans="1:11" x14ac:dyDescent="0.3">
      <c r="A9" s="2">
        <v>45512</v>
      </c>
      <c r="B9" s="3">
        <v>123</v>
      </c>
      <c r="C9" s="3">
        <v>0</v>
      </c>
      <c r="D9" s="3">
        <v>606</v>
      </c>
      <c r="E9" s="3"/>
      <c r="F9" s="3">
        <f t="shared" si="0"/>
        <v>729</v>
      </c>
      <c r="G9" s="3"/>
      <c r="H9" s="3">
        <v>21.55</v>
      </c>
      <c r="I9" s="3">
        <f t="shared" si="1"/>
        <v>707.45</v>
      </c>
      <c r="K9" s="5" t="s">
        <v>10</v>
      </c>
    </row>
    <row r="10" spans="1:11" x14ac:dyDescent="0.3">
      <c r="A10" s="2">
        <v>45513</v>
      </c>
      <c r="B10" s="3">
        <v>0</v>
      </c>
      <c r="C10" s="3">
        <v>0</v>
      </c>
      <c r="D10" s="3">
        <v>581</v>
      </c>
      <c r="E10" s="3"/>
      <c r="F10" s="3">
        <f t="shared" si="0"/>
        <v>581</v>
      </c>
      <c r="G10" s="3"/>
      <c r="H10" s="3">
        <v>21.11</v>
      </c>
      <c r="I10" s="3">
        <f t="shared" si="1"/>
        <v>559.89</v>
      </c>
      <c r="K10" s="3">
        <f>SUM(I:I)</f>
        <v>18735.18</v>
      </c>
    </row>
    <row r="11" spans="1:11" x14ac:dyDescent="0.3">
      <c r="A11" s="2">
        <v>45514</v>
      </c>
      <c r="B11" s="3">
        <v>0</v>
      </c>
      <c r="C11" s="3">
        <v>0</v>
      </c>
      <c r="D11" s="3">
        <v>59</v>
      </c>
      <c r="E11" s="3"/>
      <c r="F11" s="3">
        <f t="shared" si="0"/>
        <v>59</v>
      </c>
      <c r="G11" s="3"/>
      <c r="H11" s="3">
        <v>1.63</v>
      </c>
      <c r="I11" s="3">
        <f t="shared" si="1"/>
        <v>57.37</v>
      </c>
    </row>
    <row r="12" spans="1:11" x14ac:dyDescent="0.3">
      <c r="A12" s="2">
        <v>45515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45516</v>
      </c>
      <c r="B13" s="3">
        <v>0</v>
      </c>
      <c r="C13" s="3">
        <v>0</v>
      </c>
      <c r="D13" s="3">
        <v>0</v>
      </c>
      <c r="E13" s="3"/>
      <c r="F13" s="3">
        <f t="shared" si="0"/>
        <v>0</v>
      </c>
      <c r="G13" s="3"/>
      <c r="H13" s="3">
        <v>0</v>
      </c>
      <c r="I13" s="3">
        <f t="shared" si="1"/>
        <v>0</v>
      </c>
    </row>
    <row r="14" spans="1:11" x14ac:dyDescent="0.3">
      <c r="A14" s="2">
        <v>45517</v>
      </c>
      <c r="B14" s="3">
        <v>0</v>
      </c>
      <c r="C14" s="3">
        <v>0</v>
      </c>
      <c r="D14" s="3">
        <v>818</v>
      </c>
      <c r="E14" s="3"/>
      <c r="F14" s="3">
        <f t="shared" si="0"/>
        <v>818</v>
      </c>
      <c r="G14" s="3"/>
      <c r="H14" s="3">
        <v>29.87</v>
      </c>
      <c r="I14" s="3">
        <v>788.13</v>
      </c>
    </row>
    <row r="15" spans="1:11" x14ac:dyDescent="0.3">
      <c r="A15" s="2">
        <v>45518</v>
      </c>
      <c r="B15" s="3">
        <v>0</v>
      </c>
      <c r="C15" s="3">
        <v>0</v>
      </c>
      <c r="D15" s="3">
        <v>630</v>
      </c>
      <c r="E15" s="3"/>
      <c r="F15" s="3">
        <f t="shared" si="0"/>
        <v>630</v>
      </c>
      <c r="G15" s="3"/>
      <c r="H15" s="3">
        <v>19.23</v>
      </c>
      <c r="I15" s="3">
        <f t="shared" si="1"/>
        <v>610.77</v>
      </c>
    </row>
    <row r="16" spans="1:11" x14ac:dyDescent="0.3">
      <c r="A16" s="2">
        <v>45519</v>
      </c>
      <c r="B16" s="3">
        <v>0</v>
      </c>
      <c r="C16" s="3">
        <v>0</v>
      </c>
      <c r="D16" s="3">
        <v>517</v>
      </c>
      <c r="E16" s="3"/>
      <c r="F16" s="3">
        <f t="shared" si="0"/>
        <v>517</v>
      </c>
      <c r="G16" s="3"/>
      <c r="H16" s="3">
        <v>19.02</v>
      </c>
      <c r="I16" s="3">
        <f t="shared" si="1"/>
        <v>497.98</v>
      </c>
    </row>
    <row r="17" spans="1:9" x14ac:dyDescent="0.3">
      <c r="A17" s="2">
        <v>45520</v>
      </c>
      <c r="B17" s="3">
        <v>0</v>
      </c>
      <c r="C17" s="3">
        <v>2500</v>
      </c>
      <c r="D17" s="3">
        <v>123</v>
      </c>
      <c r="E17" s="3"/>
      <c r="F17" s="3">
        <f t="shared" si="0"/>
        <v>2623</v>
      </c>
      <c r="G17" s="3"/>
      <c r="H17" s="3">
        <v>4.46</v>
      </c>
      <c r="I17" s="3">
        <f t="shared" si="1"/>
        <v>2618.54</v>
      </c>
    </row>
    <row r="18" spans="1:9" x14ac:dyDescent="0.3">
      <c r="A18" s="2">
        <v>45521</v>
      </c>
      <c r="B18" s="3">
        <v>0</v>
      </c>
      <c r="C18" s="3">
        <v>0</v>
      </c>
      <c r="D18" s="3">
        <v>852</v>
      </c>
      <c r="E18" s="3"/>
      <c r="F18" s="3">
        <f t="shared" si="0"/>
        <v>852</v>
      </c>
      <c r="G18" s="3"/>
      <c r="H18" s="3">
        <v>27.19</v>
      </c>
      <c r="I18" s="3">
        <f t="shared" si="1"/>
        <v>824.81</v>
      </c>
    </row>
    <row r="19" spans="1:9" x14ac:dyDescent="0.3">
      <c r="A19" s="2">
        <v>45522</v>
      </c>
      <c r="B19" s="3">
        <v>0</v>
      </c>
      <c r="C19" s="3">
        <v>0</v>
      </c>
      <c r="D19" s="3">
        <v>408</v>
      </c>
      <c r="E19" s="3"/>
      <c r="F19" s="3">
        <f t="shared" si="0"/>
        <v>408</v>
      </c>
      <c r="G19" s="3"/>
      <c r="H19" s="3">
        <v>14.74</v>
      </c>
      <c r="I19" s="3">
        <f t="shared" si="1"/>
        <v>393.26</v>
      </c>
    </row>
    <row r="20" spans="1:9" x14ac:dyDescent="0.3">
      <c r="A20" s="2">
        <v>45523</v>
      </c>
      <c r="B20" s="3">
        <v>0</v>
      </c>
      <c r="C20" s="3">
        <v>0</v>
      </c>
      <c r="D20" s="3">
        <v>212</v>
      </c>
      <c r="E20" s="3"/>
      <c r="F20" s="3">
        <f t="shared" si="0"/>
        <v>212</v>
      </c>
      <c r="G20" s="3"/>
      <c r="H20" s="3">
        <v>7.73</v>
      </c>
      <c r="I20" s="3">
        <f t="shared" si="1"/>
        <v>204.27</v>
      </c>
    </row>
    <row r="21" spans="1:9" x14ac:dyDescent="0.3">
      <c r="A21" s="2">
        <v>45524</v>
      </c>
      <c r="B21" s="3">
        <v>0</v>
      </c>
      <c r="C21" s="3">
        <v>0</v>
      </c>
      <c r="D21" s="3">
        <v>390</v>
      </c>
      <c r="E21" s="3"/>
      <c r="F21" s="3">
        <f t="shared" si="0"/>
        <v>390</v>
      </c>
      <c r="G21" s="3"/>
      <c r="H21" s="3">
        <v>14.27</v>
      </c>
      <c r="I21" s="3">
        <f t="shared" si="1"/>
        <v>375.73</v>
      </c>
    </row>
    <row r="22" spans="1:9" x14ac:dyDescent="0.3">
      <c r="A22" s="2">
        <v>45525</v>
      </c>
      <c r="B22" s="3">
        <v>0</v>
      </c>
      <c r="C22" s="3">
        <v>0</v>
      </c>
      <c r="D22" s="3">
        <v>370</v>
      </c>
      <c r="E22" s="3"/>
      <c r="F22" s="3">
        <f t="shared" si="0"/>
        <v>370</v>
      </c>
      <c r="G22" s="3"/>
      <c r="H22" s="3">
        <v>13.41</v>
      </c>
      <c r="I22" s="3">
        <f t="shared" si="1"/>
        <v>356.59</v>
      </c>
    </row>
    <row r="23" spans="1:9" x14ac:dyDescent="0.3">
      <c r="A23" s="2">
        <v>45526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45527</v>
      </c>
      <c r="B24" s="3">
        <v>0</v>
      </c>
      <c r="C24" s="3">
        <v>0</v>
      </c>
      <c r="D24" s="3">
        <v>212</v>
      </c>
      <c r="E24" s="3"/>
      <c r="F24" s="3">
        <f t="shared" si="0"/>
        <v>212</v>
      </c>
      <c r="G24" s="3"/>
      <c r="H24" s="3">
        <v>7.73</v>
      </c>
      <c r="I24" s="3">
        <f t="shared" si="1"/>
        <v>204.27</v>
      </c>
    </row>
    <row r="25" spans="1:9" x14ac:dyDescent="0.3">
      <c r="A25" s="2">
        <v>45528</v>
      </c>
      <c r="B25" s="3">
        <v>0</v>
      </c>
      <c r="C25" s="3">
        <v>0</v>
      </c>
      <c r="D25" s="3">
        <v>246</v>
      </c>
      <c r="E25" s="3"/>
      <c r="F25" s="3">
        <f t="shared" si="0"/>
        <v>246</v>
      </c>
      <c r="G25" s="3"/>
      <c r="H25" s="3">
        <v>8.92</v>
      </c>
      <c r="I25" s="3">
        <f t="shared" si="1"/>
        <v>237.08</v>
      </c>
    </row>
    <row r="26" spans="1:9" x14ac:dyDescent="0.3">
      <c r="A26" s="2">
        <v>45529</v>
      </c>
      <c r="B26" s="3">
        <v>0</v>
      </c>
      <c r="C26" s="3">
        <v>0</v>
      </c>
      <c r="D26" s="3">
        <v>335</v>
      </c>
      <c r="E26" s="3"/>
      <c r="F26" s="3">
        <f t="shared" si="0"/>
        <v>335</v>
      </c>
      <c r="G26" s="3"/>
      <c r="H26" s="3">
        <v>12.19</v>
      </c>
      <c r="I26" s="3">
        <f t="shared" si="1"/>
        <v>322.81</v>
      </c>
    </row>
    <row r="27" spans="1:9" x14ac:dyDescent="0.3">
      <c r="A27" s="2">
        <v>45530</v>
      </c>
      <c r="B27" s="3">
        <v>0</v>
      </c>
      <c r="C27" s="3">
        <v>0</v>
      </c>
      <c r="D27" s="3">
        <v>615</v>
      </c>
      <c r="E27" s="3"/>
      <c r="F27" s="3">
        <f t="shared" si="0"/>
        <v>615</v>
      </c>
      <c r="G27" s="3"/>
      <c r="H27" s="3">
        <v>22.3</v>
      </c>
      <c r="I27" s="3">
        <f t="shared" si="1"/>
        <v>592.70000000000005</v>
      </c>
    </row>
    <row r="28" spans="1:9" x14ac:dyDescent="0.3">
      <c r="A28" s="2">
        <v>45531</v>
      </c>
      <c r="B28" s="3">
        <v>0</v>
      </c>
      <c r="C28" s="3">
        <v>0</v>
      </c>
      <c r="D28" s="3">
        <v>457</v>
      </c>
      <c r="E28" s="4"/>
      <c r="F28" s="3">
        <f t="shared" si="0"/>
        <v>457</v>
      </c>
      <c r="G28" s="3"/>
      <c r="H28" s="3">
        <v>14.7</v>
      </c>
      <c r="I28" s="3">
        <f t="shared" si="1"/>
        <v>442.3</v>
      </c>
    </row>
    <row r="29" spans="1:9" x14ac:dyDescent="0.3">
      <c r="A29" s="2">
        <v>45532</v>
      </c>
      <c r="B29" s="3">
        <v>0</v>
      </c>
      <c r="C29" s="3">
        <v>0</v>
      </c>
      <c r="D29" s="3">
        <v>4582</v>
      </c>
      <c r="E29" s="3"/>
      <c r="F29" s="3">
        <f t="shared" si="0"/>
        <v>4582</v>
      </c>
      <c r="G29" s="3"/>
      <c r="H29" s="3">
        <v>159.82</v>
      </c>
      <c r="I29" s="3">
        <f t="shared" si="1"/>
        <v>4422.18</v>
      </c>
    </row>
    <row r="30" spans="1:9" x14ac:dyDescent="0.3">
      <c r="A30" s="2">
        <v>45533</v>
      </c>
      <c r="B30" s="3">
        <v>0</v>
      </c>
      <c r="C30" s="3">
        <v>0</v>
      </c>
      <c r="D30" s="3">
        <v>359</v>
      </c>
      <c r="E30" s="3"/>
      <c r="F30" s="3">
        <f t="shared" si="0"/>
        <v>359</v>
      </c>
      <c r="G30" s="3"/>
      <c r="H30" s="3">
        <v>10.7</v>
      </c>
      <c r="I30" s="3">
        <f t="shared" si="1"/>
        <v>348.3</v>
      </c>
    </row>
    <row r="31" spans="1:9" x14ac:dyDescent="0.3">
      <c r="A31" s="2">
        <v>45534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  <row r="32" spans="1:9" x14ac:dyDescent="0.3">
      <c r="A32" s="2">
        <v>45535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5" workbookViewId="0">
      <selection activeCell="K29" sqref="K29"/>
    </sheetView>
  </sheetViews>
  <sheetFormatPr defaultRowHeight="14.4" x14ac:dyDescent="0.3"/>
  <cols>
    <col min="1" max="1" width="10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45536</v>
      </c>
      <c r="B2" s="3">
        <v>0</v>
      </c>
      <c r="C2" s="3">
        <v>0</v>
      </c>
      <c r="D2" s="3">
        <v>581</v>
      </c>
      <c r="E2" s="3"/>
      <c r="F2" s="3">
        <f>SUM(B2:D2)</f>
        <v>581</v>
      </c>
      <c r="G2" s="3"/>
      <c r="H2" s="3">
        <v>21.11</v>
      </c>
      <c r="I2" s="3">
        <f>F2-H2</f>
        <v>559.89</v>
      </c>
    </row>
    <row r="3" spans="1:11" x14ac:dyDescent="0.3">
      <c r="A3" s="2">
        <v>45537</v>
      </c>
      <c r="B3" s="3">
        <v>0</v>
      </c>
      <c r="C3" s="3">
        <v>0</v>
      </c>
      <c r="D3" s="3">
        <v>246</v>
      </c>
      <c r="E3" s="3"/>
      <c r="F3" s="3">
        <f t="shared" ref="F3:F31" si="0">SUM(B3:D3)</f>
        <v>246</v>
      </c>
      <c r="G3" s="3"/>
      <c r="H3" s="3">
        <v>13.38</v>
      </c>
      <c r="I3" s="3">
        <f t="shared" ref="I3:I31" si="1">F3-H3</f>
        <v>232.62</v>
      </c>
    </row>
    <row r="4" spans="1:11" x14ac:dyDescent="0.3">
      <c r="A4" s="2">
        <v>45538</v>
      </c>
      <c r="B4" s="3">
        <v>0</v>
      </c>
      <c r="C4" s="3">
        <v>0</v>
      </c>
      <c r="D4" s="3">
        <v>595</v>
      </c>
      <c r="E4" s="3"/>
      <c r="F4" s="3">
        <f t="shared" si="0"/>
        <v>595</v>
      </c>
      <c r="G4" s="3"/>
      <c r="H4" s="3">
        <v>17.03</v>
      </c>
      <c r="I4" s="3">
        <f t="shared" si="1"/>
        <v>577.97</v>
      </c>
      <c r="K4" s="5" t="s">
        <v>19</v>
      </c>
    </row>
    <row r="5" spans="1:11" x14ac:dyDescent="0.3">
      <c r="A5" s="2">
        <v>45539</v>
      </c>
      <c r="B5" s="3">
        <v>0</v>
      </c>
      <c r="C5" s="3">
        <v>0</v>
      </c>
      <c r="D5" s="3">
        <v>798</v>
      </c>
      <c r="E5" s="3"/>
      <c r="F5" s="3">
        <f t="shared" si="0"/>
        <v>798</v>
      </c>
      <c r="G5" s="3"/>
      <c r="H5" s="3">
        <v>28.42</v>
      </c>
      <c r="I5" s="3">
        <f t="shared" si="1"/>
        <v>769.58</v>
      </c>
      <c r="K5" s="5" t="s">
        <v>12</v>
      </c>
    </row>
    <row r="6" spans="1:11" x14ac:dyDescent="0.3">
      <c r="A6" s="2">
        <v>45540</v>
      </c>
      <c r="B6" s="3">
        <v>0</v>
      </c>
      <c r="C6" s="3">
        <v>0</v>
      </c>
      <c r="D6" s="3">
        <v>1217</v>
      </c>
      <c r="E6" s="3"/>
      <c r="F6" s="3">
        <f t="shared" si="0"/>
        <v>1217</v>
      </c>
      <c r="G6" s="3"/>
      <c r="H6" s="3">
        <v>39.869999999999997</v>
      </c>
      <c r="I6" s="3">
        <f t="shared" si="1"/>
        <v>1177.1300000000001</v>
      </c>
      <c r="K6" s="3">
        <f>SUM(F2:F31)</f>
        <v>13852</v>
      </c>
    </row>
    <row r="7" spans="1:11" x14ac:dyDescent="0.3">
      <c r="A7" s="2">
        <v>45541</v>
      </c>
      <c r="B7" s="3">
        <v>0</v>
      </c>
      <c r="C7" s="3">
        <v>0</v>
      </c>
      <c r="D7" s="3">
        <v>527</v>
      </c>
      <c r="E7" s="3"/>
      <c r="F7" s="3">
        <f t="shared" si="0"/>
        <v>527</v>
      </c>
      <c r="G7" s="3"/>
      <c r="H7" s="3">
        <v>19.059999999999999</v>
      </c>
      <c r="I7" s="3">
        <f t="shared" si="1"/>
        <v>507.94</v>
      </c>
      <c r="K7" s="5" t="s">
        <v>9</v>
      </c>
    </row>
    <row r="8" spans="1:11" x14ac:dyDescent="0.3">
      <c r="A8" s="2">
        <v>45542</v>
      </c>
      <c r="B8" s="3">
        <v>0</v>
      </c>
      <c r="C8" s="3">
        <v>0</v>
      </c>
      <c r="D8" s="3">
        <v>542</v>
      </c>
      <c r="E8" s="3"/>
      <c r="F8" s="3">
        <f t="shared" si="0"/>
        <v>542</v>
      </c>
      <c r="G8" s="3"/>
      <c r="H8" s="3">
        <v>16.21</v>
      </c>
      <c r="I8" s="3">
        <f t="shared" si="1"/>
        <v>525.79</v>
      </c>
      <c r="K8" s="3">
        <f>SUM(H:H)</f>
        <v>481.72</v>
      </c>
    </row>
    <row r="9" spans="1:11" x14ac:dyDescent="0.3">
      <c r="A9" s="2">
        <v>45543</v>
      </c>
      <c r="B9" s="3">
        <v>0</v>
      </c>
      <c r="C9" s="3">
        <v>0</v>
      </c>
      <c r="D9" s="3">
        <v>581</v>
      </c>
      <c r="E9" s="3"/>
      <c r="F9" s="3">
        <f t="shared" si="0"/>
        <v>581</v>
      </c>
      <c r="G9" s="3"/>
      <c r="H9" s="3">
        <v>21.11</v>
      </c>
      <c r="I9" s="3">
        <f t="shared" si="1"/>
        <v>559.89</v>
      </c>
      <c r="K9" s="5" t="s">
        <v>10</v>
      </c>
    </row>
    <row r="10" spans="1:11" x14ac:dyDescent="0.3">
      <c r="A10" s="2">
        <v>45544</v>
      </c>
      <c r="B10" s="3">
        <v>0</v>
      </c>
      <c r="C10" s="3">
        <v>0</v>
      </c>
      <c r="D10" s="3">
        <v>547</v>
      </c>
      <c r="E10" s="3"/>
      <c r="F10" s="3">
        <f t="shared" si="0"/>
        <v>547</v>
      </c>
      <c r="G10" s="3"/>
      <c r="H10" s="3">
        <v>19.920000000000002</v>
      </c>
      <c r="I10" s="3">
        <f t="shared" si="1"/>
        <v>527.08000000000004</v>
      </c>
      <c r="K10" s="3">
        <f>SUM(I:I)</f>
        <v>13370.280000000002</v>
      </c>
    </row>
    <row r="11" spans="1:11" x14ac:dyDescent="0.3">
      <c r="A11" s="2">
        <v>45545</v>
      </c>
      <c r="B11" s="3">
        <v>0</v>
      </c>
      <c r="C11" s="3">
        <v>0</v>
      </c>
      <c r="D11" s="3">
        <v>152</v>
      </c>
      <c r="E11" s="3"/>
      <c r="F11" s="3">
        <f t="shared" si="0"/>
        <v>152</v>
      </c>
      <c r="G11" s="3"/>
      <c r="H11" s="3">
        <v>4.51</v>
      </c>
      <c r="I11" s="3">
        <f t="shared" si="1"/>
        <v>147.49</v>
      </c>
    </row>
    <row r="12" spans="1:11" x14ac:dyDescent="0.3">
      <c r="A12" s="2">
        <v>45546</v>
      </c>
      <c r="B12" s="3">
        <v>0</v>
      </c>
      <c r="C12" s="3">
        <v>0</v>
      </c>
      <c r="D12" s="3">
        <v>182</v>
      </c>
      <c r="E12" s="3"/>
      <c r="F12" s="3">
        <f t="shared" si="0"/>
        <v>182</v>
      </c>
      <c r="G12" s="3"/>
      <c r="H12" s="3">
        <v>6.09</v>
      </c>
      <c r="I12" s="3">
        <f t="shared" si="1"/>
        <v>175.91</v>
      </c>
    </row>
    <row r="13" spans="1:11" x14ac:dyDescent="0.3">
      <c r="A13" s="2">
        <v>45547</v>
      </c>
      <c r="B13" s="3">
        <v>0</v>
      </c>
      <c r="C13" s="3">
        <v>0</v>
      </c>
      <c r="D13" s="3">
        <v>0</v>
      </c>
      <c r="E13" s="3"/>
      <c r="F13" s="3">
        <f t="shared" si="0"/>
        <v>0</v>
      </c>
      <c r="G13" s="3"/>
      <c r="H13" s="3">
        <v>0</v>
      </c>
      <c r="I13" s="3">
        <f t="shared" si="1"/>
        <v>0</v>
      </c>
    </row>
    <row r="14" spans="1:11" x14ac:dyDescent="0.3">
      <c r="A14" s="2">
        <v>45548</v>
      </c>
      <c r="B14" s="3">
        <v>0</v>
      </c>
      <c r="C14" s="3">
        <v>0</v>
      </c>
      <c r="D14" s="3">
        <v>759</v>
      </c>
      <c r="E14" s="3"/>
      <c r="F14" s="3">
        <f t="shared" si="0"/>
        <v>759</v>
      </c>
      <c r="G14" s="3"/>
      <c r="H14" s="3">
        <v>27.65</v>
      </c>
      <c r="I14" s="3">
        <f t="shared" si="1"/>
        <v>731.35</v>
      </c>
    </row>
    <row r="15" spans="1:11" x14ac:dyDescent="0.3">
      <c r="A15" s="2">
        <v>45549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45550</v>
      </c>
      <c r="B16" s="3">
        <v>0</v>
      </c>
      <c r="C16" s="3">
        <v>0</v>
      </c>
      <c r="D16" s="3">
        <v>424</v>
      </c>
      <c r="E16" s="3"/>
      <c r="F16" s="3">
        <f t="shared" si="0"/>
        <v>424</v>
      </c>
      <c r="G16" s="3"/>
      <c r="H16" s="3">
        <v>15.46</v>
      </c>
      <c r="I16" s="3">
        <f t="shared" si="1"/>
        <v>408.54</v>
      </c>
    </row>
    <row r="17" spans="1:9" x14ac:dyDescent="0.3">
      <c r="A17" s="2">
        <v>45551</v>
      </c>
      <c r="B17" s="3">
        <v>0</v>
      </c>
      <c r="C17" s="3">
        <v>0</v>
      </c>
      <c r="D17" s="3">
        <v>123</v>
      </c>
      <c r="E17" s="3"/>
      <c r="F17" s="3">
        <f t="shared" si="0"/>
        <v>123</v>
      </c>
      <c r="G17" s="3"/>
      <c r="H17" s="3">
        <v>4.46</v>
      </c>
      <c r="I17" s="3">
        <f t="shared" si="1"/>
        <v>118.54</v>
      </c>
    </row>
    <row r="18" spans="1:9" x14ac:dyDescent="0.3">
      <c r="A18" s="2">
        <v>45552</v>
      </c>
      <c r="B18" s="3">
        <v>0</v>
      </c>
      <c r="C18" s="3">
        <v>0</v>
      </c>
      <c r="D18" s="3">
        <v>670</v>
      </c>
      <c r="E18" s="3"/>
      <c r="F18" s="3">
        <f t="shared" si="0"/>
        <v>670</v>
      </c>
      <c r="G18" s="3"/>
      <c r="H18" s="3">
        <v>24.22</v>
      </c>
      <c r="I18" s="3">
        <f t="shared" si="1"/>
        <v>645.78</v>
      </c>
    </row>
    <row r="19" spans="1:9" x14ac:dyDescent="0.3">
      <c r="A19" s="2">
        <v>45553</v>
      </c>
      <c r="B19" s="3">
        <v>0</v>
      </c>
      <c r="C19" s="3">
        <v>0</v>
      </c>
      <c r="D19" s="3">
        <v>369</v>
      </c>
      <c r="E19" s="3"/>
      <c r="F19" s="3">
        <f t="shared" si="0"/>
        <v>369</v>
      </c>
      <c r="G19" s="3"/>
      <c r="H19" s="3">
        <v>13.22</v>
      </c>
      <c r="I19" s="3">
        <f t="shared" si="1"/>
        <v>355.78</v>
      </c>
    </row>
    <row r="20" spans="1:9" x14ac:dyDescent="0.3">
      <c r="A20" s="2">
        <v>45554</v>
      </c>
      <c r="B20" s="3">
        <v>0</v>
      </c>
      <c r="C20" s="3">
        <v>0</v>
      </c>
      <c r="D20" s="3">
        <v>503</v>
      </c>
      <c r="E20" s="3"/>
      <c r="F20" s="3">
        <f t="shared" si="0"/>
        <v>503</v>
      </c>
      <c r="G20" s="3"/>
      <c r="H20" s="3">
        <v>16.399999999999999</v>
      </c>
      <c r="I20" s="3">
        <f t="shared" si="1"/>
        <v>486.6</v>
      </c>
    </row>
    <row r="21" spans="1:9" x14ac:dyDescent="0.3">
      <c r="A21" s="2">
        <v>45555</v>
      </c>
      <c r="B21" s="3">
        <v>0</v>
      </c>
      <c r="C21" s="3">
        <v>0</v>
      </c>
      <c r="D21" s="3">
        <v>356</v>
      </c>
      <c r="E21" s="3"/>
      <c r="F21" s="3">
        <f t="shared" si="0"/>
        <v>356</v>
      </c>
      <c r="G21" s="3"/>
      <c r="H21" s="3">
        <v>13.08</v>
      </c>
      <c r="I21" s="3">
        <f t="shared" si="1"/>
        <v>342.92</v>
      </c>
    </row>
    <row r="22" spans="1:9" x14ac:dyDescent="0.3">
      <c r="A22" s="2">
        <v>45556</v>
      </c>
      <c r="B22" s="3">
        <v>0</v>
      </c>
      <c r="C22" s="3">
        <v>0</v>
      </c>
      <c r="D22" s="3">
        <v>457</v>
      </c>
      <c r="E22" s="3"/>
      <c r="F22" s="3">
        <f t="shared" si="0"/>
        <v>457</v>
      </c>
      <c r="G22" s="3"/>
      <c r="H22" s="3">
        <v>14.6</v>
      </c>
      <c r="I22" s="3">
        <f t="shared" si="1"/>
        <v>442.4</v>
      </c>
    </row>
    <row r="23" spans="1:9" x14ac:dyDescent="0.3">
      <c r="A23" s="2">
        <v>45557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45558</v>
      </c>
      <c r="B24" s="3">
        <v>0</v>
      </c>
      <c r="C24" s="3">
        <v>0</v>
      </c>
      <c r="D24" s="3">
        <v>370</v>
      </c>
      <c r="E24" s="3"/>
      <c r="F24" s="3">
        <f t="shared" si="0"/>
        <v>370</v>
      </c>
      <c r="G24" s="3"/>
      <c r="H24" s="3">
        <v>13.41</v>
      </c>
      <c r="I24" s="3">
        <f t="shared" si="1"/>
        <v>356.59</v>
      </c>
    </row>
    <row r="25" spans="1:9" x14ac:dyDescent="0.3">
      <c r="A25" s="2">
        <v>45559</v>
      </c>
      <c r="B25" s="3">
        <v>0</v>
      </c>
      <c r="C25" s="3">
        <v>0</v>
      </c>
      <c r="D25" s="3">
        <v>669</v>
      </c>
      <c r="E25" s="3"/>
      <c r="F25" s="3">
        <f t="shared" si="0"/>
        <v>669</v>
      </c>
      <c r="G25" s="3"/>
      <c r="H25" s="3">
        <v>20.32</v>
      </c>
      <c r="I25" s="3">
        <f t="shared" si="1"/>
        <v>648.67999999999995</v>
      </c>
    </row>
    <row r="26" spans="1:9" x14ac:dyDescent="0.3">
      <c r="A26" s="2">
        <v>45560</v>
      </c>
      <c r="B26" s="3">
        <v>0</v>
      </c>
      <c r="C26" s="3">
        <v>0</v>
      </c>
      <c r="D26" s="3">
        <v>398</v>
      </c>
      <c r="E26" s="3"/>
      <c r="F26" s="3">
        <f t="shared" si="0"/>
        <v>398</v>
      </c>
      <c r="G26" s="3"/>
      <c r="H26" s="3">
        <v>13.67</v>
      </c>
      <c r="I26" s="3">
        <f t="shared" si="1"/>
        <v>384.33</v>
      </c>
    </row>
    <row r="27" spans="1:9" x14ac:dyDescent="0.3">
      <c r="A27" s="2">
        <v>45561</v>
      </c>
      <c r="B27" s="3">
        <v>0</v>
      </c>
      <c r="C27" s="3">
        <v>0</v>
      </c>
      <c r="D27" s="3">
        <v>831</v>
      </c>
      <c r="E27" s="3"/>
      <c r="F27" s="3">
        <f t="shared" si="0"/>
        <v>831</v>
      </c>
      <c r="G27" s="3"/>
      <c r="H27" s="3">
        <v>29.73</v>
      </c>
      <c r="I27" s="3">
        <f t="shared" si="1"/>
        <v>801.27</v>
      </c>
    </row>
    <row r="28" spans="1:9" x14ac:dyDescent="0.3">
      <c r="A28" s="2">
        <v>45562</v>
      </c>
      <c r="B28" s="3">
        <v>0</v>
      </c>
      <c r="C28" s="3">
        <v>0</v>
      </c>
      <c r="D28" s="3">
        <v>123</v>
      </c>
      <c r="E28" s="4"/>
      <c r="F28" s="3">
        <f t="shared" si="0"/>
        <v>123</v>
      </c>
      <c r="G28" s="3"/>
      <c r="H28" s="3">
        <v>4.46</v>
      </c>
      <c r="I28" s="3">
        <f t="shared" si="1"/>
        <v>118.54</v>
      </c>
    </row>
    <row r="29" spans="1:9" x14ac:dyDescent="0.3">
      <c r="A29" s="2">
        <v>45563</v>
      </c>
      <c r="B29" s="3">
        <v>0</v>
      </c>
      <c r="C29" s="3">
        <v>0</v>
      </c>
      <c r="D29" s="3">
        <v>738</v>
      </c>
      <c r="E29" s="3"/>
      <c r="F29" s="3">
        <f t="shared" si="0"/>
        <v>738</v>
      </c>
      <c r="G29" s="3"/>
      <c r="H29" s="3">
        <v>24.49</v>
      </c>
      <c r="I29" s="3">
        <f t="shared" si="1"/>
        <v>713.51</v>
      </c>
    </row>
    <row r="30" spans="1:9" x14ac:dyDescent="0.3">
      <c r="A30" s="2">
        <v>45564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45565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5" workbookViewId="0">
      <selection activeCell="K23" sqref="K23"/>
    </sheetView>
  </sheetViews>
  <sheetFormatPr defaultRowHeight="14.4" x14ac:dyDescent="0.3"/>
  <cols>
    <col min="1" max="1" width="12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45566</v>
      </c>
      <c r="B2" s="3">
        <v>0</v>
      </c>
      <c r="C2" s="3">
        <v>0</v>
      </c>
      <c r="D2" s="3">
        <v>822</v>
      </c>
      <c r="E2" s="3"/>
      <c r="F2" s="3">
        <f>SUM(B2:D2)</f>
        <v>822</v>
      </c>
      <c r="G2" s="3"/>
      <c r="H2" s="3">
        <v>27.58</v>
      </c>
      <c r="I2" s="3">
        <f>F2-H2</f>
        <v>794.42</v>
      </c>
    </row>
    <row r="3" spans="1:11" x14ac:dyDescent="0.3">
      <c r="A3" s="2">
        <v>45567</v>
      </c>
      <c r="B3" s="3">
        <v>0</v>
      </c>
      <c r="C3" s="3">
        <v>0</v>
      </c>
      <c r="D3" s="3">
        <v>246</v>
      </c>
      <c r="E3" s="3"/>
      <c r="F3" s="3">
        <f t="shared" ref="F3:F32" si="0">SUM(B3:D3)</f>
        <v>246</v>
      </c>
      <c r="G3" s="3"/>
      <c r="H3" s="3">
        <v>8.92</v>
      </c>
      <c r="I3" s="3">
        <f t="shared" ref="I3:I32" si="1">F3-H3</f>
        <v>237.08</v>
      </c>
    </row>
    <row r="4" spans="1:11" x14ac:dyDescent="0.3">
      <c r="A4" s="2">
        <v>45568</v>
      </c>
      <c r="B4" s="3">
        <v>0</v>
      </c>
      <c r="C4" s="3">
        <v>0</v>
      </c>
      <c r="D4" s="3">
        <v>509</v>
      </c>
      <c r="E4" s="3"/>
      <c r="F4" s="3">
        <f t="shared" si="0"/>
        <v>509</v>
      </c>
      <c r="G4" s="3"/>
      <c r="H4" s="3">
        <v>18.14</v>
      </c>
      <c r="I4" s="3">
        <f t="shared" si="1"/>
        <v>490.86</v>
      </c>
      <c r="K4" s="5" t="s">
        <v>20</v>
      </c>
    </row>
    <row r="5" spans="1:11" x14ac:dyDescent="0.3">
      <c r="A5" s="2">
        <v>45569</v>
      </c>
      <c r="B5" s="3">
        <v>0</v>
      </c>
      <c r="C5" s="3">
        <v>0</v>
      </c>
      <c r="D5" s="3">
        <v>704</v>
      </c>
      <c r="E5" s="3"/>
      <c r="F5" s="3">
        <f t="shared" si="0"/>
        <v>704</v>
      </c>
      <c r="G5" s="3"/>
      <c r="H5" s="3">
        <v>25.57</v>
      </c>
      <c r="I5" s="3">
        <f t="shared" si="1"/>
        <v>678.43</v>
      </c>
      <c r="K5" s="5" t="s">
        <v>12</v>
      </c>
    </row>
    <row r="6" spans="1:11" x14ac:dyDescent="0.3">
      <c r="A6" s="2">
        <v>45570</v>
      </c>
      <c r="B6" s="3">
        <v>0</v>
      </c>
      <c r="C6" s="3">
        <v>0</v>
      </c>
      <c r="D6" s="3">
        <v>920</v>
      </c>
      <c r="E6" s="3"/>
      <c r="F6" s="3">
        <f t="shared" si="0"/>
        <v>920</v>
      </c>
      <c r="G6" s="3"/>
      <c r="H6" s="3">
        <v>32.85</v>
      </c>
      <c r="I6" s="3">
        <f t="shared" si="1"/>
        <v>887.15</v>
      </c>
      <c r="K6" s="3">
        <f>SUM(F2:F32)</f>
        <v>13879</v>
      </c>
    </row>
    <row r="7" spans="1:11" x14ac:dyDescent="0.3">
      <c r="A7" s="2">
        <v>45571</v>
      </c>
      <c r="B7" s="3">
        <v>0</v>
      </c>
      <c r="C7" s="3">
        <v>0</v>
      </c>
      <c r="D7" s="3">
        <v>379</v>
      </c>
      <c r="E7" s="3"/>
      <c r="F7" s="3">
        <f t="shared" si="0"/>
        <v>379</v>
      </c>
      <c r="G7" s="3"/>
      <c r="H7" s="3">
        <v>13.88</v>
      </c>
      <c r="I7" s="3">
        <f t="shared" si="1"/>
        <v>365.12</v>
      </c>
      <c r="K7" s="5" t="s">
        <v>9</v>
      </c>
    </row>
    <row r="8" spans="1:11" x14ac:dyDescent="0.3">
      <c r="A8" s="2">
        <v>45572</v>
      </c>
      <c r="B8" s="3">
        <v>0</v>
      </c>
      <c r="C8" s="3">
        <v>0</v>
      </c>
      <c r="D8" s="3">
        <v>424</v>
      </c>
      <c r="E8" s="3"/>
      <c r="F8" s="3">
        <f t="shared" si="0"/>
        <v>424</v>
      </c>
      <c r="G8" s="3"/>
      <c r="H8" s="3">
        <v>15.3</v>
      </c>
      <c r="I8" s="3">
        <f t="shared" si="1"/>
        <v>408.7</v>
      </c>
      <c r="K8" s="3">
        <f>SUM(H:H)</f>
        <v>489.2600000000001</v>
      </c>
    </row>
    <row r="9" spans="1:11" x14ac:dyDescent="0.3">
      <c r="A9" s="2">
        <v>45573</v>
      </c>
      <c r="B9" s="3">
        <v>0</v>
      </c>
      <c r="C9" s="3">
        <v>0</v>
      </c>
      <c r="D9" s="3">
        <v>458</v>
      </c>
      <c r="E9" s="3"/>
      <c r="F9" s="3">
        <f t="shared" si="0"/>
        <v>458</v>
      </c>
      <c r="G9" s="3"/>
      <c r="H9" s="3">
        <v>16.649999999999999</v>
      </c>
      <c r="I9" s="3">
        <f t="shared" si="1"/>
        <v>441.35</v>
      </c>
      <c r="K9" s="5" t="s">
        <v>10</v>
      </c>
    </row>
    <row r="10" spans="1:11" x14ac:dyDescent="0.3">
      <c r="A10" s="2">
        <v>45574</v>
      </c>
      <c r="B10" s="3">
        <v>0</v>
      </c>
      <c r="C10" s="3">
        <v>0</v>
      </c>
      <c r="D10" s="3">
        <v>616</v>
      </c>
      <c r="E10" s="3"/>
      <c r="F10" s="3">
        <f t="shared" si="0"/>
        <v>616</v>
      </c>
      <c r="G10" s="3"/>
      <c r="H10" s="3">
        <v>22.33</v>
      </c>
      <c r="I10" s="3">
        <f t="shared" si="1"/>
        <v>593.66999999999996</v>
      </c>
      <c r="K10" s="3">
        <f>SUM(I:I)</f>
        <v>13389.740000000003</v>
      </c>
    </row>
    <row r="11" spans="1:11" x14ac:dyDescent="0.3">
      <c r="A11" s="2">
        <v>45575</v>
      </c>
      <c r="B11" s="3">
        <v>0</v>
      </c>
      <c r="C11" s="3">
        <v>0</v>
      </c>
      <c r="D11" s="3">
        <v>123</v>
      </c>
      <c r="E11" s="3"/>
      <c r="F11" s="3">
        <f t="shared" si="0"/>
        <v>123</v>
      </c>
      <c r="G11" s="3"/>
      <c r="H11" s="3">
        <v>4.46</v>
      </c>
      <c r="I11" s="3">
        <f t="shared" si="1"/>
        <v>118.54</v>
      </c>
    </row>
    <row r="12" spans="1:11" x14ac:dyDescent="0.3">
      <c r="A12" s="2">
        <v>45576</v>
      </c>
      <c r="B12" s="3">
        <v>0</v>
      </c>
      <c r="C12" s="3">
        <v>0</v>
      </c>
      <c r="D12" s="3">
        <v>123</v>
      </c>
      <c r="E12" s="3"/>
      <c r="F12" s="3">
        <f t="shared" si="0"/>
        <v>123</v>
      </c>
      <c r="G12" s="3"/>
      <c r="H12" s="3">
        <v>4.46</v>
      </c>
      <c r="I12" s="3">
        <f t="shared" si="1"/>
        <v>118.54</v>
      </c>
    </row>
    <row r="13" spans="1:11" x14ac:dyDescent="0.3">
      <c r="A13" s="2">
        <v>45577</v>
      </c>
      <c r="B13" s="3">
        <v>0</v>
      </c>
      <c r="C13" s="3">
        <v>0</v>
      </c>
      <c r="D13" s="3">
        <v>594</v>
      </c>
      <c r="E13" s="3"/>
      <c r="F13" s="3">
        <f t="shared" si="0"/>
        <v>594</v>
      </c>
      <c r="G13" s="3"/>
      <c r="H13" s="3">
        <v>17.57</v>
      </c>
      <c r="I13" s="3">
        <f t="shared" si="1"/>
        <v>576.42999999999995</v>
      </c>
    </row>
    <row r="14" spans="1:11" x14ac:dyDescent="0.3">
      <c r="A14" s="2">
        <v>45578</v>
      </c>
      <c r="B14" s="3">
        <v>0</v>
      </c>
      <c r="C14" s="3">
        <v>0</v>
      </c>
      <c r="D14" s="3">
        <v>759</v>
      </c>
      <c r="E14" s="3"/>
      <c r="F14" s="3">
        <f t="shared" si="0"/>
        <v>759</v>
      </c>
      <c r="G14" s="3"/>
      <c r="H14" s="3">
        <v>27.65</v>
      </c>
      <c r="I14" s="3">
        <f t="shared" si="1"/>
        <v>731.35</v>
      </c>
    </row>
    <row r="15" spans="1:11" x14ac:dyDescent="0.3">
      <c r="A15" s="2">
        <v>45579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45580</v>
      </c>
      <c r="B16" s="3">
        <v>0</v>
      </c>
      <c r="C16" s="3">
        <v>0</v>
      </c>
      <c r="D16" s="3">
        <v>462</v>
      </c>
      <c r="E16" s="3"/>
      <c r="F16" s="3">
        <f t="shared" si="0"/>
        <v>462</v>
      </c>
      <c r="G16" s="3"/>
      <c r="H16" s="3">
        <v>16.5</v>
      </c>
      <c r="I16" s="3">
        <f t="shared" si="1"/>
        <v>445.5</v>
      </c>
    </row>
    <row r="17" spans="1:9" x14ac:dyDescent="0.3">
      <c r="A17" s="2">
        <v>45581</v>
      </c>
      <c r="B17" s="3">
        <v>0</v>
      </c>
      <c r="C17" s="3">
        <v>0</v>
      </c>
      <c r="D17" s="3">
        <v>424</v>
      </c>
      <c r="E17" s="3"/>
      <c r="F17" s="3">
        <f t="shared" si="0"/>
        <v>424</v>
      </c>
      <c r="G17" s="3"/>
      <c r="H17" s="3">
        <v>14.6</v>
      </c>
      <c r="I17" s="3">
        <f t="shared" si="1"/>
        <v>409.4</v>
      </c>
    </row>
    <row r="18" spans="1:9" x14ac:dyDescent="0.3">
      <c r="A18" s="2">
        <v>45582</v>
      </c>
      <c r="B18" s="3">
        <v>0</v>
      </c>
      <c r="C18" s="3">
        <v>0</v>
      </c>
      <c r="D18" s="3">
        <v>793</v>
      </c>
      <c r="E18" s="3"/>
      <c r="F18" s="3">
        <f t="shared" si="0"/>
        <v>793</v>
      </c>
      <c r="G18" s="3"/>
      <c r="H18" s="3">
        <v>27.52</v>
      </c>
      <c r="I18" s="3">
        <f t="shared" si="1"/>
        <v>765.48</v>
      </c>
    </row>
    <row r="19" spans="1:9" x14ac:dyDescent="0.3">
      <c r="A19" s="2">
        <v>45583</v>
      </c>
      <c r="B19" s="3">
        <v>0</v>
      </c>
      <c r="C19" s="3">
        <v>0</v>
      </c>
      <c r="D19" s="3">
        <v>353</v>
      </c>
      <c r="E19" s="3"/>
      <c r="F19" s="3">
        <f t="shared" si="0"/>
        <v>353</v>
      </c>
      <c r="G19" s="3"/>
      <c r="H19" s="3">
        <v>12.81</v>
      </c>
      <c r="I19" s="3">
        <f t="shared" si="1"/>
        <v>340.19</v>
      </c>
    </row>
    <row r="20" spans="1:9" x14ac:dyDescent="0.3">
      <c r="A20" s="2">
        <v>45584</v>
      </c>
      <c r="B20" s="3">
        <v>59</v>
      </c>
      <c r="C20" s="3">
        <v>0</v>
      </c>
      <c r="D20" s="3">
        <v>428</v>
      </c>
      <c r="E20" s="3"/>
      <c r="F20" s="3">
        <f t="shared" si="0"/>
        <v>487</v>
      </c>
      <c r="G20" s="3"/>
      <c r="H20" s="3">
        <v>15.16</v>
      </c>
      <c r="I20" s="3">
        <f t="shared" si="1"/>
        <v>471.84</v>
      </c>
    </row>
    <row r="21" spans="1:9" x14ac:dyDescent="0.3">
      <c r="A21" s="2">
        <v>45585</v>
      </c>
      <c r="B21" s="3">
        <v>0</v>
      </c>
      <c r="C21" s="3">
        <v>0</v>
      </c>
      <c r="D21" s="3">
        <v>479</v>
      </c>
      <c r="E21" s="3"/>
      <c r="F21" s="3">
        <f t="shared" si="0"/>
        <v>479</v>
      </c>
      <c r="G21" s="3"/>
      <c r="H21" s="3">
        <v>17.54</v>
      </c>
      <c r="I21" s="3">
        <f t="shared" si="1"/>
        <v>461.46</v>
      </c>
    </row>
    <row r="22" spans="1:9" x14ac:dyDescent="0.3">
      <c r="A22" s="2">
        <v>45586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9" x14ac:dyDescent="0.3">
      <c r="A23" s="2">
        <v>45587</v>
      </c>
      <c r="B23" s="3">
        <v>0</v>
      </c>
      <c r="C23" s="3">
        <v>0</v>
      </c>
      <c r="D23" s="3">
        <v>271</v>
      </c>
      <c r="E23" s="3"/>
      <c r="F23" s="3">
        <f t="shared" si="0"/>
        <v>271</v>
      </c>
      <c r="G23" s="3"/>
      <c r="H23" s="3">
        <v>9.51</v>
      </c>
      <c r="I23" s="3">
        <f t="shared" si="1"/>
        <v>261.49</v>
      </c>
    </row>
    <row r="24" spans="1:9" x14ac:dyDescent="0.3">
      <c r="A24" s="2">
        <v>45588</v>
      </c>
      <c r="B24" s="3">
        <v>0</v>
      </c>
      <c r="C24" s="3">
        <v>0</v>
      </c>
      <c r="D24" s="3">
        <v>212</v>
      </c>
      <c r="E24" s="3"/>
      <c r="F24" s="3">
        <f t="shared" si="0"/>
        <v>212</v>
      </c>
      <c r="G24" s="3"/>
      <c r="H24" s="3">
        <v>7.73</v>
      </c>
      <c r="I24" s="3">
        <f t="shared" si="1"/>
        <v>204.27</v>
      </c>
    </row>
    <row r="25" spans="1:9" x14ac:dyDescent="0.3">
      <c r="A25" s="2">
        <v>45589</v>
      </c>
      <c r="B25" s="3">
        <v>0</v>
      </c>
      <c r="C25" s="3">
        <v>0</v>
      </c>
      <c r="D25" s="3">
        <v>787</v>
      </c>
      <c r="E25" s="3"/>
      <c r="F25" s="3">
        <f t="shared" si="0"/>
        <v>787</v>
      </c>
      <c r="G25" s="3"/>
      <c r="H25" s="3">
        <v>25.81</v>
      </c>
      <c r="I25" s="3">
        <f t="shared" si="1"/>
        <v>761.19</v>
      </c>
    </row>
    <row r="26" spans="1:9" x14ac:dyDescent="0.3">
      <c r="A26" s="2">
        <v>45590</v>
      </c>
      <c r="B26" s="3">
        <v>0</v>
      </c>
      <c r="C26" s="3">
        <v>0</v>
      </c>
      <c r="D26" s="3">
        <v>212</v>
      </c>
      <c r="E26" s="3"/>
      <c r="F26" s="3">
        <f t="shared" si="0"/>
        <v>212</v>
      </c>
      <c r="G26" s="3"/>
      <c r="H26" s="3">
        <v>7.73</v>
      </c>
      <c r="I26" s="3">
        <f t="shared" si="1"/>
        <v>204.27</v>
      </c>
    </row>
    <row r="27" spans="1:9" x14ac:dyDescent="0.3">
      <c r="A27" s="2">
        <v>45591</v>
      </c>
      <c r="B27" s="3">
        <v>0</v>
      </c>
      <c r="C27" s="3">
        <v>0</v>
      </c>
      <c r="D27" s="3">
        <v>856</v>
      </c>
      <c r="E27" s="3"/>
      <c r="F27" s="3">
        <f t="shared" si="0"/>
        <v>856</v>
      </c>
      <c r="G27" s="3"/>
      <c r="H27" s="3">
        <v>31.2</v>
      </c>
      <c r="I27" s="3">
        <f t="shared" si="1"/>
        <v>824.8</v>
      </c>
    </row>
    <row r="28" spans="1:9" x14ac:dyDescent="0.3">
      <c r="A28" s="2">
        <v>45592</v>
      </c>
      <c r="B28" s="3">
        <v>0</v>
      </c>
      <c r="C28" s="3">
        <v>0</v>
      </c>
      <c r="D28" s="3">
        <v>123</v>
      </c>
      <c r="E28" s="4"/>
      <c r="F28" s="3">
        <f t="shared" si="0"/>
        <v>123</v>
      </c>
      <c r="G28" s="3"/>
      <c r="H28" s="3">
        <v>4.46</v>
      </c>
      <c r="I28" s="3">
        <f t="shared" si="1"/>
        <v>118.54</v>
      </c>
    </row>
    <row r="29" spans="1:9" x14ac:dyDescent="0.3">
      <c r="A29" s="2">
        <v>45593</v>
      </c>
      <c r="B29" s="3">
        <v>0</v>
      </c>
      <c r="C29" s="3">
        <v>0</v>
      </c>
      <c r="D29" s="3">
        <v>704</v>
      </c>
      <c r="E29" s="3"/>
      <c r="F29" s="3">
        <f t="shared" si="0"/>
        <v>704</v>
      </c>
      <c r="G29" s="3"/>
      <c r="H29" s="3">
        <v>25.57</v>
      </c>
      <c r="I29" s="3">
        <f t="shared" si="1"/>
        <v>678.43</v>
      </c>
    </row>
    <row r="30" spans="1:9" x14ac:dyDescent="0.3">
      <c r="A30" s="2">
        <v>45594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45595</v>
      </c>
      <c r="B31" s="3">
        <v>0</v>
      </c>
      <c r="C31" s="3">
        <v>0</v>
      </c>
      <c r="D31" s="3">
        <v>212</v>
      </c>
      <c r="E31" s="3"/>
      <c r="F31" s="3">
        <f t="shared" si="0"/>
        <v>212</v>
      </c>
      <c r="G31" s="3"/>
      <c r="H31" s="3">
        <v>7.73</v>
      </c>
      <c r="I31" s="3">
        <f t="shared" si="1"/>
        <v>204.27</v>
      </c>
    </row>
    <row r="32" spans="1:9" x14ac:dyDescent="0.3">
      <c r="A32" s="2">
        <v>45596</v>
      </c>
      <c r="B32" s="14">
        <v>0</v>
      </c>
      <c r="C32" s="14">
        <v>0</v>
      </c>
      <c r="D32" s="14">
        <v>0</v>
      </c>
      <c r="E32" s="14"/>
      <c r="F32" s="14">
        <f t="shared" si="0"/>
        <v>0</v>
      </c>
      <c r="G32" s="14"/>
      <c r="H32" s="14">
        <v>0</v>
      </c>
      <c r="I32" s="14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5" workbookViewId="0">
      <selection activeCell="D32" sqref="D32"/>
    </sheetView>
  </sheetViews>
  <sheetFormatPr defaultRowHeight="14.4" x14ac:dyDescent="0.3"/>
  <cols>
    <col min="1" max="1" width="10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45597</v>
      </c>
      <c r="B2" s="3">
        <v>0</v>
      </c>
      <c r="C2" s="3">
        <v>0</v>
      </c>
      <c r="D2" s="3">
        <v>704</v>
      </c>
      <c r="E2" s="3"/>
      <c r="F2" s="3">
        <f>SUM(B2:D2)</f>
        <v>704</v>
      </c>
      <c r="G2" s="3"/>
      <c r="H2" s="3">
        <v>25.57</v>
      </c>
      <c r="I2" s="3">
        <f>F2-H2</f>
        <v>678.43</v>
      </c>
    </row>
    <row r="3" spans="1:11" x14ac:dyDescent="0.3">
      <c r="A3" s="2">
        <v>45598</v>
      </c>
      <c r="B3" s="3">
        <v>0</v>
      </c>
      <c r="C3" s="3">
        <v>0</v>
      </c>
      <c r="D3" s="3">
        <v>246</v>
      </c>
      <c r="E3" s="3"/>
      <c r="F3" s="3">
        <f t="shared" ref="F3:F31" si="0">SUM(B3:D3)</f>
        <v>246</v>
      </c>
      <c r="G3" s="3"/>
      <c r="H3" s="3">
        <v>8.92</v>
      </c>
      <c r="I3" s="3">
        <f t="shared" ref="I3:I31" si="1">F3-H3</f>
        <v>237.08</v>
      </c>
    </row>
    <row r="4" spans="1:11" x14ac:dyDescent="0.3">
      <c r="A4" s="2">
        <v>45599</v>
      </c>
      <c r="B4" s="3">
        <v>0</v>
      </c>
      <c r="C4" s="3">
        <v>0</v>
      </c>
      <c r="D4" s="3">
        <v>348</v>
      </c>
      <c r="E4" s="3"/>
      <c r="F4" s="3">
        <f t="shared" si="0"/>
        <v>348</v>
      </c>
      <c r="G4" s="3"/>
      <c r="H4" s="3">
        <v>12.49</v>
      </c>
      <c r="I4" s="3">
        <f t="shared" si="1"/>
        <v>335.51</v>
      </c>
      <c r="K4" s="5" t="s">
        <v>21</v>
      </c>
    </row>
    <row r="5" spans="1:11" x14ac:dyDescent="0.3">
      <c r="A5" s="2">
        <v>45600</v>
      </c>
      <c r="B5" s="3">
        <v>0</v>
      </c>
      <c r="C5" s="3">
        <v>0</v>
      </c>
      <c r="D5" s="3">
        <v>704</v>
      </c>
      <c r="E5" s="3"/>
      <c r="F5" s="3">
        <f t="shared" si="0"/>
        <v>704</v>
      </c>
      <c r="G5" s="3"/>
      <c r="H5" s="3">
        <v>25.57</v>
      </c>
      <c r="I5" s="3">
        <f t="shared" si="1"/>
        <v>678.43</v>
      </c>
      <c r="K5" s="5" t="s">
        <v>12</v>
      </c>
    </row>
    <row r="6" spans="1:11" x14ac:dyDescent="0.3">
      <c r="A6" s="2">
        <v>45601</v>
      </c>
      <c r="B6" s="3">
        <v>0</v>
      </c>
      <c r="C6" s="3">
        <v>0</v>
      </c>
      <c r="D6" s="3">
        <v>861</v>
      </c>
      <c r="E6" s="3"/>
      <c r="F6" s="3">
        <f t="shared" si="0"/>
        <v>861</v>
      </c>
      <c r="G6" s="3"/>
      <c r="H6" s="3">
        <v>31.22</v>
      </c>
      <c r="I6" s="3">
        <f t="shared" si="1"/>
        <v>829.78</v>
      </c>
      <c r="K6" s="3">
        <f>SUM(F2:F31)</f>
        <v>13671</v>
      </c>
    </row>
    <row r="7" spans="1:11" x14ac:dyDescent="0.3">
      <c r="A7" s="2">
        <v>45602</v>
      </c>
      <c r="B7" s="3">
        <v>0</v>
      </c>
      <c r="C7" s="3">
        <v>0</v>
      </c>
      <c r="D7" s="3">
        <v>551</v>
      </c>
      <c r="E7" s="3"/>
      <c r="F7" s="3">
        <f t="shared" si="0"/>
        <v>551</v>
      </c>
      <c r="G7" s="3"/>
      <c r="H7" s="3">
        <v>18.760000000000002</v>
      </c>
      <c r="I7" s="3">
        <f t="shared" si="1"/>
        <v>532.24</v>
      </c>
      <c r="K7" s="5" t="s">
        <v>9</v>
      </c>
    </row>
    <row r="8" spans="1:11" x14ac:dyDescent="0.3">
      <c r="A8" s="2">
        <v>45603</v>
      </c>
      <c r="B8" s="3">
        <v>0</v>
      </c>
      <c r="C8" s="3">
        <v>0</v>
      </c>
      <c r="D8" s="3">
        <v>684</v>
      </c>
      <c r="E8" s="3"/>
      <c r="F8" s="3">
        <f t="shared" si="0"/>
        <v>684</v>
      </c>
      <c r="G8" s="3"/>
      <c r="H8" s="3">
        <v>23.54</v>
      </c>
      <c r="I8" s="3">
        <f t="shared" si="1"/>
        <v>660.46</v>
      </c>
      <c r="K8" s="3">
        <f>SUM(H:H)</f>
        <v>479.21000000000004</v>
      </c>
    </row>
    <row r="9" spans="1:11" x14ac:dyDescent="0.3">
      <c r="A9" s="2">
        <v>45604</v>
      </c>
      <c r="B9" s="3">
        <v>0</v>
      </c>
      <c r="C9" s="3">
        <v>0</v>
      </c>
      <c r="D9" s="3">
        <v>458</v>
      </c>
      <c r="E9" s="3"/>
      <c r="F9" s="3">
        <f t="shared" si="0"/>
        <v>458</v>
      </c>
      <c r="G9" s="3"/>
      <c r="H9" s="3">
        <v>16.649999999999999</v>
      </c>
      <c r="I9" s="3">
        <f t="shared" si="1"/>
        <v>441.35</v>
      </c>
      <c r="K9" s="5" t="s">
        <v>10</v>
      </c>
    </row>
    <row r="10" spans="1:11" x14ac:dyDescent="0.3">
      <c r="A10" s="2">
        <v>45605</v>
      </c>
      <c r="B10" s="3">
        <v>0</v>
      </c>
      <c r="C10" s="3">
        <v>0</v>
      </c>
      <c r="D10" s="3">
        <v>674</v>
      </c>
      <c r="E10" s="3"/>
      <c r="F10" s="3">
        <f t="shared" si="0"/>
        <v>674</v>
      </c>
      <c r="G10" s="3"/>
      <c r="H10" s="3">
        <v>23.63</v>
      </c>
      <c r="I10" s="3">
        <f t="shared" si="1"/>
        <v>650.37</v>
      </c>
      <c r="K10" s="3">
        <f>SUM(I:I)</f>
        <v>13191.789999999997</v>
      </c>
    </row>
    <row r="11" spans="1:11" x14ac:dyDescent="0.3">
      <c r="A11" s="2">
        <v>45606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45607</v>
      </c>
      <c r="B12" s="3">
        <v>0</v>
      </c>
      <c r="C12" s="3">
        <v>0</v>
      </c>
      <c r="D12" s="3">
        <v>281</v>
      </c>
      <c r="E12" s="3"/>
      <c r="F12" s="3">
        <f t="shared" si="0"/>
        <v>281</v>
      </c>
      <c r="G12" s="3"/>
      <c r="H12" s="3">
        <v>10.14</v>
      </c>
      <c r="I12" s="3">
        <f t="shared" si="1"/>
        <v>270.86</v>
      </c>
    </row>
    <row r="13" spans="1:11" x14ac:dyDescent="0.3">
      <c r="A13" s="2">
        <v>45608</v>
      </c>
      <c r="B13" s="3">
        <v>118</v>
      </c>
      <c r="C13" s="3">
        <v>0</v>
      </c>
      <c r="D13" s="3">
        <v>246</v>
      </c>
      <c r="E13" s="3"/>
      <c r="F13" s="3">
        <f t="shared" si="0"/>
        <v>364</v>
      </c>
      <c r="G13" s="3"/>
      <c r="H13" s="3">
        <v>7.76</v>
      </c>
      <c r="I13" s="3">
        <f t="shared" si="1"/>
        <v>356.24</v>
      </c>
    </row>
    <row r="14" spans="1:11" x14ac:dyDescent="0.3">
      <c r="A14" s="2">
        <v>45609</v>
      </c>
      <c r="B14" s="3">
        <v>0</v>
      </c>
      <c r="C14" s="3">
        <v>0</v>
      </c>
      <c r="D14" s="3">
        <v>897</v>
      </c>
      <c r="E14" s="3"/>
      <c r="F14" s="3">
        <f t="shared" si="0"/>
        <v>897</v>
      </c>
      <c r="G14" s="3"/>
      <c r="H14" s="3">
        <v>31.76</v>
      </c>
      <c r="I14" s="3">
        <f t="shared" si="1"/>
        <v>865.24</v>
      </c>
    </row>
    <row r="15" spans="1:11" x14ac:dyDescent="0.3">
      <c r="A15" s="2">
        <v>45610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15.49</v>
      </c>
      <c r="I15" s="3">
        <v>442.51</v>
      </c>
    </row>
    <row r="16" spans="1:11" x14ac:dyDescent="0.3">
      <c r="A16" s="2">
        <v>45611</v>
      </c>
      <c r="B16" s="3">
        <v>0</v>
      </c>
      <c r="C16" s="3">
        <v>0</v>
      </c>
      <c r="D16" s="3">
        <v>335</v>
      </c>
      <c r="E16" s="3"/>
      <c r="F16" s="3">
        <f t="shared" si="0"/>
        <v>335</v>
      </c>
      <c r="G16" s="3"/>
      <c r="H16" s="3">
        <v>12.19</v>
      </c>
      <c r="I16" s="3">
        <f t="shared" si="1"/>
        <v>322.81</v>
      </c>
    </row>
    <row r="17" spans="1:9" x14ac:dyDescent="0.3">
      <c r="A17" s="2">
        <v>45612</v>
      </c>
      <c r="B17" s="3">
        <v>0</v>
      </c>
      <c r="C17" s="3">
        <v>0</v>
      </c>
      <c r="D17" s="3">
        <v>364</v>
      </c>
      <c r="E17" s="3"/>
      <c r="F17" s="3">
        <f t="shared" si="0"/>
        <v>364</v>
      </c>
      <c r="G17" s="3"/>
      <c r="H17" s="3">
        <v>12.24</v>
      </c>
      <c r="I17" s="3">
        <f t="shared" si="1"/>
        <v>351.76</v>
      </c>
    </row>
    <row r="18" spans="1:9" x14ac:dyDescent="0.3">
      <c r="A18" s="2">
        <v>45613</v>
      </c>
      <c r="B18" s="3">
        <v>0</v>
      </c>
      <c r="C18" s="3">
        <v>0</v>
      </c>
      <c r="D18" s="3">
        <v>547</v>
      </c>
      <c r="E18" s="3"/>
      <c r="F18" s="3">
        <f t="shared" si="0"/>
        <v>547</v>
      </c>
      <c r="G18" s="3"/>
      <c r="H18" s="3">
        <v>19.760000000000002</v>
      </c>
      <c r="I18" s="3">
        <f t="shared" si="1"/>
        <v>527.24</v>
      </c>
    </row>
    <row r="19" spans="1:9" x14ac:dyDescent="0.3">
      <c r="A19" s="2">
        <v>45614</v>
      </c>
      <c r="B19" s="3">
        <v>0</v>
      </c>
      <c r="C19" s="3">
        <v>0</v>
      </c>
      <c r="D19" s="3">
        <v>502</v>
      </c>
      <c r="E19" s="3"/>
      <c r="F19" s="3">
        <f t="shared" si="0"/>
        <v>502</v>
      </c>
      <c r="G19" s="3"/>
      <c r="H19" s="3">
        <v>18.03</v>
      </c>
      <c r="I19" s="3">
        <f t="shared" si="1"/>
        <v>483.97</v>
      </c>
    </row>
    <row r="20" spans="1:9" x14ac:dyDescent="0.3">
      <c r="A20" s="2">
        <v>45615</v>
      </c>
      <c r="B20" s="3">
        <v>0</v>
      </c>
      <c r="C20" s="3">
        <v>0</v>
      </c>
      <c r="D20" s="3">
        <v>493</v>
      </c>
      <c r="E20" s="3"/>
      <c r="F20" s="3">
        <f t="shared" si="0"/>
        <v>493</v>
      </c>
      <c r="G20" s="3"/>
      <c r="H20" s="3">
        <v>17.87</v>
      </c>
      <c r="I20" s="3">
        <f t="shared" si="1"/>
        <v>475.13</v>
      </c>
    </row>
    <row r="21" spans="1:9" x14ac:dyDescent="0.3">
      <c r="A21" s="2">
        <v>45616</v>
      </c>
      <c r="B21" s="3">
        <v>0</v>
      </c>
      <c r="C21" s="3">
        <v>0</v>
      </c>
      <c r="D21" s="3">
        <v>390</v>
      </c>
      <c r="E21" s="3"/>
      <c r="F21" s="3">
        <f t="shared" si="0"/>
        <v>390</v>
      </c>
      <c r="G21" s="3"/>
      <c r="H21" s="3">
        <v>14.27</v>
      </c>
      <c r="I21" s="3">
        <f t="shared" si="1"/>
        <v>375.73</v>
      </c>
    </row>
    <row r="22" spans="1:9" x14ac:dyDescent="0.3">
      <c r="A22" s="2">
        <v>45617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9" x14ac:dyDescent="0.3">
      <c r="A23" s="2">
        <v>45618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45619</v>
      </c>
      <c r="B24" s="3">
        <v>0</v>
      </c>
      <c r="C24" s="3">
        <v>0</v>
      </c>
      <c r="D24" s="3">
        <v>453</v>
      </c>
      <c r="E24" s="3"/>
      <c r="F24" s="3">
        <f t="shared" si="0"/>
        <v>453</v>
      </c>
      <c r="G24" s="3"/>
      <c r="H24" s="3">
        <v>14.19</v>
      </c>
      <c r="I24" s="3">
        <f t="shared" si="1"/>
        <v>438.81</v>
      </c>
    </row>
    <row r="25" spans="1:9" x14ac:dyDescent="0.3">
      <c r="A25" s="2">
        <v>45620</v>
      </c>
      <c r="B25" s="3">
        <v>0</v>
      </c>
      <c r="C25" s="3">
        <v>0</v>
      </c>
      <c r="D25" s="3">
        <v>492</v>
      </c>
      <c r="E25" s="3"/>
      <c r="F25" s="3">
        <f t="shared" si="0"/>
        <v>492</v>
      </c>
      <c r="G25" s="3"/>
      <c r="H25" s="3">
        <v>17.84</v>
      </c>
      <c r="I25" s="3">
        <f t="shared" si="1"/>
        <v>474.16</v>
      </c>
    </row>
    <row r="26" spans="1:9" x14ac:dyDescent="0.3">
      <c r="A26" s="2">
        <v>45621</v>
      </c>
      <c r="B26" s="3">
        <v>0</v>
      </c>
      <c r="C26" s="3">
        <v>0</v>
      </c>
      <c r="D26" s="3">
        <v>212</v>
      </c>
      <c r="E26" s="3"/>
      <c r="F26" s="3">
        <f t="shared" si="0"/>
        <v>212</v>
      </c>
      <c r="G26" s="3"/>
      <c r="H26" s="3">
        <v>7.73</v>
      </c>
      <c r="I26" s="3">
        <f t="shared" si="1"/>
        <v>204.27</v>
      </c>
    </row>
    <row r="27" spans="1:9" x14ac:dyDescent="0.3">
      <c r="A27" s="2">
        <v>45622</v>
      </c>
      <c r="B27" s="3">
        <v>0</v>
      </c>
      <c r="C27" s="3">
        <v>0</v>
      </c>
      <c r="D27" s="3">
        <v>826</v>
      </c>
      <c r="E27" s="3"/>
      <c r="F27" s="3">
        <f t="shared" si="0"/>
        <v>826</v>
      </c>
      <c r="G27" s="3"/>
      <c r="H27" s="3">
        <v>28.44</v>
      </c>
      <c r="I27" s="3">
        <f t="shared" si="1"/>
        <v>797.56</v>
      </c>
    </row>
    <row r="28" spans="1:9" x14ac:dyDescent="0.3">
      <c r="A28" s="2">
        <v>45623</v>
      </c>
      <c r="B28" s="3">
        <v>0</v>
      </c>
      <c r="C28" s="3">
        <v>0</v>
      </c>
      <c r="D28" s="3">
        <v>241</v>
      </c>
      <c r="E28" s="4"/>
      <c r="F28" s="3">
        <f t="shared" si="0"/>
        <v>241</v>
      </c>
      <c r="G28" s="3"/>
      <c r="H28" s="3">
        <v>7.63</v>
      </c>
      <c r="I28" s="3">
        <f t="shared" si="1"/>
        <v>233.37</v>
      </c>
    </row>
    <row r="29" spans="1:9" x14ac:dyDescent="0.3">
      <c r="A29" s="2">
        <v>45624</v>
      </c>
      <c r="B29" s="3">
        <v>0</v>
      </c>
      <c r="C29" s="3">
        <v>0</v>
      </c>
      <c r="D29" s="3">
        <v>704</v>
      </c>
      <c r="E29" s="3"/>
      <c r="F29" s="3">
        <f t="shared" si="0"/>
        <v>704</v>
      </c>
      <c r="G29" s="3"/>
      <c r="H29" s="3">
        <v>25.41</v>
      </c>
      <c r="I29" s="3">
        <f t="shared" si="1"/>
        <v>678.59</v>
      </c>
    </row>
    <row r="30" spans="1:9" x14ac:dyDescent="0.3">
      <c r="A30" s="2">
        <v>45625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45626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5" workbookViewId="0">
      <selection activeCell="L25" sqref="L25"/>
    </sheetView>
  </sheetViews>
  <sheetFormatPr defaultRowHeight="14.4" x14ac:dyDescent="0.3"/>
  <cols>
    <col min="1" max="1" width="10.88671875" customWidth="1"/>
    <col min="4" max="4" width="11.88671875" customWidth="1"/>
    <col min="6" max="6" width="12.109375" customWidth="1"/>
    <col min="7" max="7" width="4.33203125" customWidth="1"/>
    <col min="8" max="8" width="19.109375" customWidth="1"/>
    <col min="9" max="9" width="20.6640625" customWidth="1"/>
    <col min="11" max="11" width="28.33203125" customWidth="1"/>
  </cols>
  <sheetData>
    <row r="1" spans="1:11" x14ac:dyDescent="0.3">
      <c r="A1" s="5" t="s">
        <v>4</v>
      </c>
      <c r="B1" s="6" t="s">
        <v>3</v>
      </c>
      <c r="C1" s="6" t="s">
        <v>2</v>
      </c>
      <c r="D1" s="6" t="s">
        <v>1</v>
      </c>
      <c r="E1" s="5"/>
      <c r="F1" s="9" t="s">
        <v>0</v>
      </c>
      <c r="G1" s="8"/>
      <c r="H1" s="7" t="s">
        <v>5</v>
      </c>
      <c r="I1" s="8" t="s">
        <v>6</v>
      </c>
    </row>
    <row r="2" spans="1:11" x14ac:dyDescent="0.3">
      <c r="A2" s="2">
        <v>45627</v>
      </c>
      <c r="B2" s="3">
        <v>0</v>
      </c>
      <c r="C2" s="3">
        <v>0</v>
      </c>
      <c r="D2" s="3">
        <v>581</v>
      </c>
      <c r="E2" s="3"/>
      <c r="F2" s="3">
        <f>SUM(B2:D2)</f>
        <v>581</v>
      </c>
      <c r="G2" s="3"/>
      <c r="H2" s="3">
        <v>21.11</v>
      </c>
      <c r="I2" s="3">
        <f>F2-H2</f>
        <v>559.89</v>
      </c>
    </row>
    <row r="3" spans="1:11" x14ac:dyDescent="0.3">
      <c r="A3" s="2">
        <v>45628</v>
      </c>
      <c r="B3" s="3">
        <v>0</v>
      </c>
      <c r="C3" s="3">
        <v>0</v>
      </c>
      <c r="D3" s="3">
        <v>246</v>
      </c>
      <c r="E3" s="3"/>
      <c r="F3" s="3">
        <f t="shared" ref="F3:F32" si="0">SUM(B3:D3)</f>
        <v>246</v>
      </c>
      <c r="G3" s="3"/>
      <c r="H3" s="3">
        <v>8.92</v>
      </c>
      <c r="I3" s="3">
        <f t="shared" ref="I3:I32" si="1">F3-H3</f>
        <v>237.08</v>
      </c>
    </row>
    <row r="4" spans="1:11" x14ac:dyDescent="0.3">
      <c r="A4" s="2">
        <v>45629</v>
      </c>
      <c r="B4" s="3">
        <v>0</v>
      </c>
      <c r="C4" s="3">
        <v>0</v>
      </c>
      <c r="D4" s="3">
        <v>225</v>
      </c>
      <c r="E4" s="3"/>
      <c r="F4" s="3">
        <f t="shared" si="0"/>
        <v>225</v>
      </c>
      <c r="G4" s="3"/>
      <c r="H4" s="3">
        <v>8.0299999999999994</v>
      </c>
      <c r="I4" s="3">
        <f t="shared" si="1"/>
        <v>216.97</v>
      </c>
      <c r="K4" s="5" t="s">
        <v>22</v>
      </c>
    </row>
    <row r="5" spans="1:11" x14ac:dyDescent="0.3">
      <c r="A5" s="2">
        <v>45630</v>
      </c>
      <c r="B5" s="3">
        <v>0</v>
      </c>
      <c r="C5" s="3">
        <v>0</v>
      </c>
      <c r="D5" s="3">
        <v>763</v>
      </c>
      <c r="E5" s="3"/>
      <c r="F5" s="3">
        <f t="shared" si="0"/>
        <v>763</v>
      </c>
      <c r="G5" s="3"/>
      <c r="H5" s="3">
        <v>27.2</v>
      </c>
      <c r="I5" s="3">
        <f t="shared" si="1"/>
        <v>735.8</v>
      </c>
      <c r="K5" s="5" t="s">
        <v>12</v>
      </c>
    </row>
    <row r="6" spans="1:11" x14ac:dyDescent="0.3">
      <c r="A6" s="2">
        <v>45631</v>
      </c>
      <c r="B6" s="3">
        <v>0</v>
      </c>
      <c r="C6" s="3">
        <v>0</v>
      </c>
      <c r="D6" s="3">
        <v>1077</v>
      </c>
      <c r="E6" s="3"/>
      <c r="F6" s="3">
        <f t="shared" si="0"/>
        <v>1077</v>
      </c>
      <c r="G6" s="3"/>
      <c r="H6" s="3">
        <v>37.49</v>
      </c>
      <c r="I6" s="3">
        <f t="shared" si="1"/>
        <v>1039.51</v>
      </c>
      <c r="K6" s="3">
        <f>SUM(F2:F32)</f>
        <v>13187</v>
      </c>
    </row>
    <row r="7" spans="1:11" x14ac:dyDescent="0.3">
      <c r="A7" s="2">
        <v>45632</v>
      </c>
      <c r="B7" s="3">
        <v>0</v>
      </c>
      <c r="C7" s="3">
        <v>0</v>
      </c>
      <c r="D7" s="3">
        <v>458</v>
      </c>
      <c r="E7" s="3"/>
      <c r="F7" s="3">
        <f t="shared" si="0"/>
        <v>458</v>
      </c>
      <c r="G7" s="3"/>
      <c r="H7" s="3">
        <v>21.11</v>
      </c>
      <c r="I7" s="3">
        <f t="shared" si="1"/>
        <v>436.89</v>
      </c>
      <c r="K7" s="5" t="s">
        <v>9</v>
      </c>
    </row>
    <row r="8" spans="1:11" x14ac:dyDescent="0.3">
      <c r="A8" s="2">
        <v>45633</v>
      </c>
      <c r="B8" s="3">
        <v>0</v>
      </c>
      <c r="C8" s="3">
        <v>0</v>
      </c>
      <c r="D8" s="3">
        <v>763</v>
      </c>
      <c r="E8" s="3"/>
      <c r="F8" s="3">
        <f t="shared" si="0"/>
        <v>763</v>
      </c>
      <c r="G8" s="3"/>
      <c r="H8" s="3">
        <v>24.72</v>
      </c>
      <c r="I8" s="3">
        <f t="shared" si="1"/>
        <v>738.28</v>
      </c>
      <c r="K8" s="3">
        <f>SUM(H:H)</f>
        <v>471.84999999999997</v>
      </c>
    </row>
    <row r="9" spans="1:11" x14ac:dyDescent="0.3">
      <c r="A9" s="2">
        <v>45634</v>
      </c>
      <c r="B9" s="3">
        <v>0</v>
      </c>
      <c r="C9" s="3">
        <v>0</v>
      </c>
      <c r="D9" s="3">
        <v>458</v>
      </c>
      <c r="E9" s="3"/>
      <c r="F9" s="3">
        <f t="shared" si="0"/>
        <v>458</v>
      </c>
      <c r="G9" s="3"/>
      <c r="H9" s="3">
        <v>16.649999999999999</v>
      </c>
      <c r="I9" s="3">
        <f t="shared" si="1"/>
        <v>441.35</v>
      </c>
      <c r="K9" s="5" t="s">
        <v>10</v>
      </c>
    </row>
    <row r="10" spans="1:11" x14ac:dyDescent="0.3">
      <c r="A10" s="2">
        <v>45635</v>
      </c>
      <c r="B10" s="3">
        <v>0</v>
      </c>
      <c r="C10" s="3">
        <v>0</v>
      </c>
      <c r="D10" s="3">
        <v>458</v>
      </c>
      <c r="E10" s="3"/>
      <c r="F10" s="3">
        <f t="shared" si="0"/>
        <v>458</v>
      </c>
      <c r="G10" s="3"/>
      <c r="H10" s="3">
        <v>16.649999999999999</v>
      </c>
      <c r="I10" s="3">
        <f t="shared" si="1"/>
        <v>441.35</v>
      </c>
      <c r="K10" s="3">
        <f>SUM(I:I)</f>
        <v>12715.150000000001</v>
      </c>
    </row>
    <row r="11" spans="1:11" x14ac:dyDescent="0.3">
      <c r="A11" s="2">
        <v>45636</v>
      </c>
      <c r="B11" s="3">
        <v>0</v>
      </c>
      <c r="C11" s="3">
        <v>0</v>
      </c>
      <c r="D11" s="3">
        <v>0</v>
      </c>
      <c r="E11" s="3"/>
      <c r="F11" s="3">
        <f t="shared" si="0"/>
        <v>0</v>
      </c>
      <c r="G11" s="3"/>
      <c r="H11" s="3">
        <v>0</v>
      </c>
      <c r="I11" s="3">
        <f t="shared" si="1"/>
        <v>0</v>
      </c>
    </row>
    <row r="12" spans="1:11" x14ac:dyDescent="0.3">
      <c r="A12" s="2">
        <v>45637</v>
      </c>
      <c r="B12" s="3">
        <v>0</v>
      </c>
      <c r="C12" s="3">
        <v>0</v>
      </c>
      <c r="D12" s="3">
        <v>191</v>
      </c>
      <c r="E12" s="3"/>
      <c r="F12" s="3">
        <f t="shared" si="0"/>
        <v>191</v>
      </c>
      <c r="G12" s="3"/>
      <c r="H12" s="3">
        <v>7.14</v>
      </c>
      <c r="I12" s="3">
        <f t="shared" si="1"/>
        <v>183.86</v>
      </c>
    </row>
    <row r="13" spans="1:11" x14ac:dyDescent="0.3">
      <c r="A13" s="2">
        <v>45638</v>
      </c>
      <c r="B13" s="3">
        <v>0</v>
      </c>
      <c r="C13" s="3">
        <v>0</v>
      </c>
      <c r="D13" s="3">
        <v>458</v>
      </c>
      <c r="E13" s="3"/>
      <c r="F13" s="3">
        <f t="shared" si="0"/>
        <v>458</v>
      </c>
      <c r="G13" s="3"/>
      <c r="H13" s="3">
        <v>14.63</v>
      </c>
      <c r="I13" s="3">
        <f t="shared" si="1"/>
        <v>443.37</v>
      </c>
    </row>
    <row r="14" spans="1:11" x14ac:dyDescent="0.3">
      <c r="A14" s="2">
        <v>45639</v>
      </c>
      <c r="B14" s="3">
        <v>0</v>
      </c>
      <c r="C14" s="3">
        <v>0</v>
      </c>
      <c r="D14" s="3">
        <v>759</v>
      </c>
      <c r="E14" s="3"/>
      <c r="F14" s="3">
        <f t="shared" si="0"/>
        <v>759</v>
      </c>
      <c r="G14" s="3"/>
      <c r="H14" s="3">
        <v>27.65</v>
      </c>
      <c r="I14" s="3">
        <f t="shared" si="1"/>
        <v>731.35</v>
      </c>
    </row>
    <row r="15" spans="1:11" x14ac:dyDescent="0.3">
      <c r="A15" s="2">
        <v>45640</v>
      </c>
      <c r="B15" s="3">
        <v>0</v>
      </c>
      <c r="C15" s="3">
        <v>0</v>
      </c>
      <c r="D15" s="3">
        <v>458</v>
      </c>
      <c r="E15" s="3"/>
      <c r="F15" s="3">
        <f t="shared" si="0"/>
        <v>458</v>
      </c>
      <c r="G15" s="3"/>
      <c r="H15" s="3">
        <v>16.649999999999999</v>
      </c>
      <c r="I15" s="3">
        <f t="shared" si="1"/>
        <v>441.35</v>
      </c>
    </row>
    <row r="16" spans="1:11" x14ac:dyDescent="0.3">
      <c r="A16" s="2">
        <v>45641</v>
      </c>
      <c r="B16" s="3">
        <v>0</v>
      </c>
      <c r="C16" s="3">
        <v>0</v>
      </c>
      <c r="D16" s="3">
        <v>335</v>
      </c>
      <c r="E16" s="3"/>
      <c r="F16" s="3">
        <f t="shared" si="0"/>
        <v>335</v>
      </c>
      <c r="G16" s="3"/>
      <c r="H16" s="3">
        <v>12.19</v>
      </c>
      <c r="I16" s="3">
        <f t="shared" si="1"/>
        <v>322.81</v>
      </c>
    </row>
    <row r="17" spans="1:9" x14ac:dyDescent="0.3">
      <c r="A17" s="2">
        <v>45642</v>
      </c>
      <c r="B17" s="3">
        <v>0</v>
      </c>
      <c r="C17" s="3">
        <v>0</v>
      </c>
      <c r="D17" s="3">
        <v>212</v>
      </c>
      <c r="E17" s="3"/>
      <c r="F17" s="3">
        <f t="shared" si="0"/>
        <v>212</v>
      </c>
      <c r="G17" s="3"/>
      <c r="H17" s="3">
        <v>7.73</v>
      </c>
      <c r="I17" s="3">
        <f t="shared" si="1"/>
        <v>204.27</v>
      </c>
    </row>
    <row r="18" spans="1:9" x14ac:dyDescent="0.3">
      <c r="A18" s="2">
        <v>45643</v>
      </c>
      <c r="B18" s="3">
        <v>0</v>
      </c>
      <c r="C18" s="3">
        <v>0</v>
      </c>
      <c r="D18" s="3">
        <v>891</v>
      </c>
      <c r="E18" s="3"/>
      <c r="F18" s="3">
        <f t="shared" si="0"/>
        <v>891</v>
      </c>
      <c r="G18" s="3"/>
      <c r="H18" s="3">
        <v>32.409999999999997</v>
      </c>
      <c r="I18" s="3">
        <f t="shared" si="1"/>
        <v>858.59</v>
      </c>
    </row>
    <row r="19" spans="1:9" x14ac:dyDescent="0.3">
      <c r="A19" s="2">
        <v>45644</v>
      </c>
      <c r="B19" s="3">
        <v>0</v>
      </c>
      <c r="C19" s="3">
        <v>0</v>
      </c>
      <c r="D19" s="3">
        <v>428</v>
      </c>
      <c r="E19" s="3"/>
      <c r="F19" s="3">
        <f t="shared" si="0"/>
        <v>428</v>
      </c>
      <c r="G19" s="3"/>
      <c r="H19" s="3">
        <v>14.85</v>
      </c>
      <c r="I19" s="3">
        <f t="shared" si="1"/>
        <v>413.15</v>
      </c>
    </row>
    <row r="20" spans="1:9" x14ac:dyDescent="0.3">
      <c r="A20" s="2">
        <v>45645</v>
      </c>
      <c r="B20" s="3">
        <v>0</v>
      </c>
      <c r="C20" s="3">
        <v>0</v>
      </c>
      <c r="D20" s="3">
        <v>364</v>
      </c>
      <c r="E20" s="3"/>
      <c r="F20" s="3">
        <f t="shared" si="0"/>
        <v>364</v>
      </c>
      <c r="G20" s="3"/>
      <c r="H20" s="3">
        <v>12.18</v>
      </c>
      <c r="I20" s="3">
        <f t="shared" si="1"/>
        <v>351.82</v>
      </c>
    </row>
    <row r="21" spans="1:9" x14ac:dyDescent="0.3">
      <c r="A21" s="2">
        <v>45646</v>
      </c>
      <c r="B21" s="3">
        <v>0</v>
      </c>
      <c r="C21" s="3">
        <v>0</v>
      </c>
      <c r="D21" s="3">
        <v>390</v>
      </c>
      <c r="E21" s="3"/>
      <c r="F21" s="3">
        <f t="shared" si="0"/>
        <v>390</v>
      </c>
      <c r="G21" s="3"/>
      <c r="H21" s="3">
        <v>14.27</v>
      </c>
      <c r="I21" s="3">
        <f t="shared" si="1"/>
        <v>375.73</v>
      </c>
    </row>
    <row r="22" spans="1:9" x14ac:dyDescent="0.3">
      <c r="A22" s="2">
        <v>45647</v>
      </c>
      <c r="B22" s="3">
        <v>0</v>
      </c>
      <c r="C22" s="3">
        <v>0</v>
      </c>
      <c r="D22" s="3">
        <v>246</v>
      </c>
      <c r="E22" s="3"/>
      <c r="F22" s="3">
        <f t="shared" si="0"/>
        <v>246</v>
      </c>
      <c r="G22" s="3"/>
      <c r="H22" s="3">
        <v>8.92</v>
      </c>
      <c r="I22" s="3">
        <f t="shared" si="1"/>
        <v>237.08</v>
      </c>
    </row>
    <row r="23" spans="1:9" x14ac:dyDescent="0.3">
      <c r="A23" s="2">
        <v>45648</v>
      </c>
      <c r="B23" s="3">
        <v>0</v>
      </c>
      <c r="C23" s="3">
        <v>0</v>
      </c>
      <c r="D23" s="3">
        <v>178</v>
      </c>
      <c r="E23" s="3"/>
      <c r="F23" s="3">
        <f t="shared" si="0"/>
        <v>178</v>
      </c>
      <c r="G23" s="3"/>
      <c r="H23" s="3">
        <v>6.54</v>
      </c>
      <c r="I23" s="3">
        <f t="shared" si="1"/>
        <v>171.46</v>
      </c>
    </row>
    <row r="24" spans="1:9" x14ac:dyDescent="0.3">
      <c r="A24" s="2">
        <v>45649</v>
      </c>
      <c r="B24" s="3">
        <v>0</v>
      </c>
      <c r="C24" s="3">
        <v>0</v>
      </c>
      <c r="D24" s="3">
        <v>335</v>
      </c>
      <c r="E24" s="3"/>
      <c r="F24" s="3">
        <f t="shared" si="0"/>
        <v>335</v>
      </c>
      <c r="G24" s="3"/>
      <c r="H24" s="3">
        <v>12.19</v>
      </c>
      <c r="I24" s="3">
        <f t="shared" si="1"/>
        <v>322.81</v>
      </c>
    </row>
    <row r="25" spans="1:9" x14ac:dyDescent="0.3">
      <c r="A25" s="2">
        <v>45650</v>
      </c>
      <c r="B25" s="3">
        <v>0</v>
      </c>
      <c r="C25" s="3">
        <v>0</v>
      </c>
      <c r="D25" s="3">
        <v>492</v>
      </c>
      <c r="E25" s="3"/>
      <c r="F25" s="3">
        <f t="shared" si="0"/>
        <v>492</v>
      </c>
      <c r="G25" s="3"/>
      <c r="H25" s="3">
        <v>17.84</v>
      </c>
      <c r="I25" s="3">
        <f t="shared" si="1"/>
        <v>474.16</v>
      </c>
    </row>
    <row r="26" spans="1:9" x14ac:dyDescent="0.3">
      <c r="A26" s="2">
        <v>45651</v>
      </c>
      <c r="B26" s="3">
        <v>0</v>
      </c>
      <c r="C26" s="3">
        <v>0</v>
      </c>
      <c r="D26" s="3">
        <v>212</v>
      </c>
      <c r="E26" s="3"/>
      <c r="F26" s="3">
        <f t="shared" si="0"/>
        <v>212</v>
      </c>
      <c r="G26" s="3"/>
      <c r="H26" s="3">
        <v>7.73</v>
      </c>
      <c r="I26" s="3">
        <f t="shared" si="1"/>
        <v>204.27</v>
      </c>
    </row>
    <row r="27" spans="1:9" x14ac:dyDescent="0.3">
      <c r="A27" s="2">
        <v>45652</v>
      </c>
      <c r="B27" s="3">
        <v>0</v>
      </c>
      <c r="C27" s="3">
        <v>0</v>
      </c>
      <c r="D27" s="3">
        <v>729</v>
      </c>
      <c r="E27" s="3"/>
      <c r="F27" s="3">
        <f t="shared" si="0"/>
        <v>729</v>
      </c>
      <c r="G27" s="3"/>
      <c r="H27" s="3">
        <v>25.15</v>
      </c>
      <c r="I27" s="3">
        <f t="shared" si="1"/>
        <v>703.85</v>
      </c>
    </row>
    <row r="28" spans="1:9" x14ac:dyDescent="0.3">
      <c r="A28" s="2">
        <v>45653</v>
      </c>
      <c r="B28" s="3">
        <v>0</v>
      </c>
      <c r="C28" s="3">
        <v>0</v>
      </c>
      <c r="D28" s="3">
        <v>246</v>
      </c>
      <c r="E28" s="4"/>
      <c r="F28" s="3">
        <f t="shared" si="0"/>
        <v>246</v>
      </c>
      <c r="G28" s="3"/>
      <c r="H28" s="3">
        <v>8.76</v>
      </c>
      <c r="I28" s="3">
        <f t="shared" si="1"/>
        <v>237.24</v>
      </c>
    </row>
    <row r="29" spans="1:9" x14ac:dyDescent="0.3">
      <c r="A29" s="2">
        <v>45654</v>
      </c>
      <c r="B29" s="3">
        <v>0</v>
      </c>
      <c r="C29" s="3">
        <v>0</v>
      </c>
      <c r="D29" s="3">
        <v>776</v>
      </c>
      <c r="E29" s="3"/>
      <c r="F29" s="3">
        <f t="shared" si="0"/>
        <v>776</v>
      </c>
      <c r="G29" s="3"/>
      <c r="H29" s="3">
        <v>26.49</v>
      </c>
      <c r="I29" s="3">
        <f t="shared" si="1"/>
        <v>749.51</v>
      </c>
    </row>
    <row r="30" spans="1:9" x14ac:dyDescent="0.3">
      <c r="A30" s="2">
        <v>45655</v>
      </c>
      <c r="B30" s="3">
        <v>0</v>
      </c>
      <c r="C30" s="3">
        <v>0</v>
      </c>
      <c r="D30" s="3">
        <v>123</v>
      </c>
      <c r="E30" s="3"/>
      <c r="F30" s="3">
        <f t="shared" si="0"/>
        <v>123</v>
      </c>
      <c r="G30" s="3"/>
      <c r="H30" s="3">
        <v>4.46</v>
      </c>
      <c r="I30" s="3">
        <f t="shared" si="1"/>
        <v>118.54</v>
      </c>
    </row>
    <row r="31" spans="1:9" x14ac:dyDescent="0.3">
      <c r="A31" s="2">
        <v>45656</v>
      </c>
      <c r="B31" s="3">
        <v>0</v>
      </c>
      <c r="C31" s="3">
        <v>0</v>
      </c>
      <c r="D31" s="3">
        <v>335</v>
      </c>
      <c r="E31" s="3"/>
      <c r="F31" s="3">
        <f t="shared" si="0"/>
        <v>335</v>
      </c>
      <c r="G31" s="3"/>
      <c r="H31" s="3">
        <v>12.19</v>
      </c>
      <c r="I31" s="3">
        <f t="shared" si="1"/>
        <v>322.81</v>
      </c>
    </row>
    <row r="32" spans="1:9" x14ac:dyDescent="0.3">
      <c r="A32" s="2">
        <v>45657</v>
      </c>
      <c r="B32" s="3">
        <v>0</v>
      </c>
      <c r="C32" s="3">
        <v>0</v>
      </c>
      <c r="D32" s="3">
        <v>0</v>
      </c>
      <c r="E32" s="1"/>
      <c r="F32" s="3">
        <f t="shared" si="0"/>
        <v>0</v>
      </c>
      <c r="G32" s="3"/>
      <c r="H32" s="3">
        <v>0</v>
      </c>
      <c r="I32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boerger</dc:creator>
  <cp:lastModifiedBy>jeff boerger</cp:lastModifiedBy>
  <cp:lastPrinted>2024-05-01T14:23:28Z</cp:lastPrinted>
  <dcterms:created xsi:type="dcterms:W3CDTF">2023-09-22T00:07:34Z</dcterms:created>
  <dcterms:modified xsi:type="dcterms:W3CDTF">2026-03-26T18:05:36Z</dcterms:modified>
</cp:coreProperties>
</file>